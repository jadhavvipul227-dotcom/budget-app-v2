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0490" windowHeight="6900"/>
  </bookViews>
  <sheets>
    <sheet name="Dashboard" sheetId="1" r:id="rId1"/>
    <sheet name="Transactions" sheetId="2" r:id="rId2"/>
    <sheet name="Income" sheetId="3" r:id="rId3"/>
    <sheet name="Expense" sheetId="4" r:id="rId4"/>
    <sheet name="Monthly Summary" sheetId="5" r:id="rId5"/>
    <sheet name="Categories" sheetId="6" r:id="rId6"/>
    <sheet name="Saving Tracker" sheetId="7" r:id="rId7"/>
    <sheet name="Project Overview" sheetId="8" r:id="rId8"/>
    <sheet name="Chart Data" sheetId="9" r:id="rId9"/>
    <sheet name="Budget Plan" sheetId="10" r:id="rId10"/>
  </sheets>
  <definedNames>
    <definedName name="_xlnm._FilterDatabase" localSheetId="1" hidden="1">Transactions!$A$1:$F$21</definedName>
    <definedName name="_xlnm._FilterDatabase" localSheetId="2" hidden="1">Income!$A$1:$D$5</definedName>
    <definedName name="_xlnm._FilterDatabase" localSheetId="3" hidden="1">Expense!$A$1:$D$17</definedName>
    <definedName name="_xlnm._FilterDatabase" localSheetId="5" hidden="1">Categories!$A$1:$B$13</definedName>
    <definedName name="_xlnm._FilterDatabase" localSheetId="8" hidden="1">'Chart Data'!$A$1:$L$10</definedName>
    <definedName name="_xlnm._FilterDatabase" localSheetId="9" hidden="1">'Budget Plan'!$A$1:$D$10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<sst xmlns="http://schemas.openxmlformats.org/spreadsheetml/2006/main" count="237" uniqueCount="81">
  <si>
    <t>PERSONAL BUDGET MANAGEMENT SYSTEM</t>
  </si>
  <si>
    <t>TOTAL INCOME</t>
  </si>
  <si>
    <t>TOTAL EXPENSES</t>
  </si>
  <si>
    <t>TOTAL SAVINGS</t>
  </si>
  <si>
    <t>SAVINGS RATE</t>
  </si>
  <si>
    <t>Update the Transactions sheet to add records. Summary formulas and charts use transaction data; use Excel Data &gt; Refresh All if applicable. Edit monthly limits in Budget Plan.</t>
  </si>
  <si>
    <t>Date</t>
  </si>
  <si>
    <t>Type</t>
  </si>
  <si>
    <t>Category</t>
  </si>
  <si>
    <t>Description</t>
  </si>
  <si>
    <t>Amount</t>
  </si>
  <si>
    <t>Payment Mode</t>
  </si>
  <si>
    <t>Income</t>
  </si>
  <si>
    <t>Salary</t>
  </si>
  <si>
    <t>Monthly Salary</t>
  </si>
  <si>
    <t>Bank</t>
  </si>
  <si>
    <t>Expense</t>
  </si>
  <si>
    <t>Food</t>
  </si>
  <si>
    <t>Groceries</t>
  </si>
  <si>
    <t>UPI</t>
  </si>
  <si>
    <t>Transport</t>
  </si>
  <si>
    <t>Bus and Auto</t>
  </si>
  <si>
    <t>Rent</t>
  </si>
  <si>
    <t>House Rent</t>
  </si>
  <si>
    <t>Shopping</t>
  </si>
  <si>
    <t>Clothes</t>
  </si>
  <si>
    <t>Card</t>
  </si>
  <si>
    <t>Entertainment</t>
  </si>
  <si>
    <t>Movie</t>
  </si>
  <si>
    <t>Bills</t>
  </si>
  <si>
    <t>Electricity Bill</t>
  </si>
  <si>
    <t>Freelance</t>
  </si>
  <si>
    <t>Freelance Work</t>
  </si>
  <si>
    <t>Restaurant</t>
  </si>
  <si>
    <t>Health</t>
  </si>
  <si>
    <t>Medicines</t>
  </si>
  <si>
    <t>Fuel</t>
  </si>
  <si>
    <t>Household Items</t>
  </si>
  <si>
    <t>Internet Bill</t>
  </si>
  <si>
    <t>Bonus</t>
  </si>
  <si>
    <t>Performance Bonus</t>
  </si>
  <si>
    <t>Source</t>
  </si>
  <si>
    <t>Company</t>
  </si>
  <si>
    <t>Freelance Client</t>
  </si>
  <si>
    <t>Month</t>
  </si>
  <si>
    <t>Savings</t>
  </si>
  <si>
    <t>Savings %</t>
  </si>
  <si>
    <t>September 2026</t>
  </si>
  <si>
    <t>October 2026</t>
  </si>
  <si>
    <t>Education</t>
  </si>
  <si>
    <t>Other</t>
  </si>
  <si>
    <t>Goal</t>
  </si>
  <si>
    <t>Actual Savings</t>
  </si>
  <si>
    <t>Status</t>
  </si>
  <si>
    <t>BUDGET MANAGEMENT SYSTEM - PROJECT OVERVIEW</t>
  </si>
  <si>
    <t>Project Objective</t>
  </si>
  <si>
    <t>A web-based dashboard that reads Excel data, tracks income and expenses, calculates savings, and provides monthly analysis.</t>
  </si>
  <si>
    <t>Frontend</t>
  </si>
  <si>
    <t>Streamlit</t>
  </si>
  <si>
    <t>Backend</t>
  </si>
  <si>
    <t>Python</t>
  </si>
  <si>
    <t>Analysis</t>
  </si>
  <si>
    <t>Pandas</t>
  </si>
  <si>
    <t>Charts</t>
  </si>
  <si>
    <t>Plotly + Matplotlib</t>
  </si>
  <si>
    <t>Database</t>
  </si>
  <si>
    <t>Excel Workbook</t>
  </si>
  <si>
    <t>IDE</t>
  </si>
  <si>
    <t>PyCharm</t>
  </si>
  <si>
    <t>Main Features</t>
  </si>
  <si>
    <t>Income tracking, expense tracking, savings calculation, category analysis, monthly trends and dashboard.</t>
  </si>
  <si>
    <t>Expenses</t>
  </si>
  <si>
    <t>Expense Amount</t>
  </si>
  <si>
    <t>Budget</t>
  </si>
  <si>
    <t>Actual</t>
  </si>
  <si>
    <t>Income Source</t>
  </si>
  <si>
    <t>Income Amount</t>
  </si>
  <si>
    <t>Payment Amount</t>
  </si>
  <si>
    <t>Monthly Budget</t>
  </si>
  <si>
    <t>Actual Expenses</t>
  </si>
  <si>
    <t>Remaining Budget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</si>
</sst>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&quot;₹&quot;#,##0"/>
    <numFmt numFmtId="181" formatCode="&quot;₹&quot;#,##0.00"/>
    <numFmt numFmtId="182" formatCode="dd/mmm/yyyy"/>
    <numFmt numFmtId="183" formatCode="0.0%"/>
  </numFmts>
  <fonts count="27">
    <font>
      <sz val="11"/>
      <color theme="1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b/>
      <sz val="20"/>
      <color rgb="FFFFFFFF"/>
      <name val="Calibri"/>
      <charset val="134"/>
      <scheme val="minor"/>
    </font>
    <font>
      <b/>
      <sz val="11"/>
      <color rgb="FF1F4E78"/>
      <name val="Calibri"/>
      <charset val="134"/>
      <scheme val="minor"/>
    </font>
    <font>
      <b/>
      <sz val="20"/>
      <color rgb="FFFFFFFF"/>
      <name val="Aptos Display"/>
      <charset val="134"/>
    </font>
    <font>
      <b/>
      <sz val="11"/>
      <name val="Calibri"/>
      <charset val="134"/>
      <scheme val="minor"/>
    </font>
    <font>
      <b/>
      <sz val="18"/>
      <color rgb="FF17365D"/>
      <name val="Calibri"/>
      <charset val="134"/>
      <scheme val="minor"/>
    </font>
    <font>
      <i/>
      <sz val="10"/>
      <color rgb="FF5B657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3">
    <fill>
      <patternFill patternType="none"/>
    </fill>
    <fill>
      <patternFill patternType="gray125"/>
    </fill>
    <fill>
      <patternFill patternType="solid">
        <fgColor rgb="FF17365D"/>
        <bgColor indexed="64"/>
      </patternFill>
    </fill>
    <fill>
      <patternFill patternType="solid">
        <fgColor rgb="FFF5F8F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00A6A6"/>
        <bgColor indexed="64"/>
      </patternFill>
    </fill>
    <fill>
      <patternFill patternType="solid">
        <fgColor rgb="FFEAF2F8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hair">
        <color rgb="FFD9E2F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rgb="FFD9D9D9"/>
      </bottom>
      <diagonal/>
    </border>
    <border>
      <left style="thin">
        <color auto="1"/>
      </left>
      <right style="thin">
        <color auto="1"/>
      </right>
      <top style="thin">
        <color rgb="FFD9D9D9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>
      <alignment vertical="center"/>
    </xf>
    <xf numFmtId="177" fontId="0" fillId="0" borderId="0">
      <alignment vertical="center"/>
    </xf>
    <xf numFmtId="9" fontId="0" fillId="0" borderId="0">
      <alignment vertical="center"/>
    </xf>
    <xf numFmtId="178" fontId="0" fillId="0" borderId="0">
      <alignment vertical="center"/>
    </xf>
    <xf numFmtId="179" fontId="0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0" fillId="12" borderId="7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13" fillId="0" borderId="8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5" fillId="0" borderId="0">
      <alignment vertical="center"/>
    </xf>
    <xf numFmtId="0" fontId="16" fillId="13" borderId="10">
      <alignment vertical="center"/>
    </xf>
    <xf numFmtId="0" fontId="17" fillId="14" borderId="11">
      <alignment vertical="center"/>
    </xf>
    <xf numFmtId="0" fontId="18" fillId="14" borderId="10">
      <alignment vertical="center"/>
    </xf>
    <xf numFmtId="0" fontId="19" fillId="15" borderId="12">
      <alignment vertical="center"/>
    </xf>
    <xf numFmtId="0" fontId="20" fillId="0" borderId="13">
      <alignment vertical="center"/>
    </xf>
    <xf numFmtId="0" fontId="21" fillId="0" borderId="14">
      <alignment vertical="center"/>
    </xf>
    <xf numFmtId="0" fontId="22" fillId="16" borderId="0">
      <alignment vertical="center"/>
    </xf>
    <xf numFmtId="0" fontId="23" fillId="17" borderId="0">
      <alignment vertical="center"/>
    </xf>
    <xf numFmtId="0" fontId="24" fillId="18" borderId="0">
      <alignment vertical="center"/>
    </xf>
    <xf numFmtId="0" fontId="25" fillId="19" borderId="0">
      <alignment vertical="center"/>
    </xf>
    <xf numFmtId="0" fontId="26" fillId="20" borderId="0">
      <alignment vertical="center"/>
    </xf>
    <xf numFmtId="0" fontId="26" fillId="21" borderId="0">
      <alignment vertical="center"/>
    </xf>
    <xf numFmtId="0" fontId="25" fillId="22" borderId="0">
      <alignment vertical="center"/>
    </xf>
    <xf numFmtId="0" fontId="25" fillId="23" borderId="0">
      <alignment vertical="center"/>
    </xf>
    <xf numFmtId="0" fontId="26" fillId="24" borderId="0">
      <alignment vertical="center"/>
    </xf>
    <xf numFmtId="0" fontId="26" fillId="25" borderId="0">
      <alignment vertical="center"/>
    </xf>
    <xf numFmtId="0" fontId="25" fillId="26" borderId="0">
      <alignment vertical="center"/>
    </xf>
    <xf numFmtId="0" fontId="25" fillId="27" borderId="0">
      <alignment vertical="center"/>
    </xf>
    <xf numFmtId="0" fontId="26" fillId="28" borderId="0">
      <alignment vertical="center"/>
    </xf>
    <xf numFmtId="0" fontId="26" fillId="29" borderId="0">
      <alignment vertical="center"/>
    </xf>
    <xf numFmtId="0" fontId="25" fillId="30" borderId="0">
      <alignment vertical="center"/>
    </xf>
    <xf numFmtId="0" fontId="25" fillId="31" borderId="0">
      <alignment vertical="center"/>
    </xf>
    <xf numFmtId="0" fontId="26" fillId="32" borderId="0">
      <alignment vertical="center"/>
    </xf>
    <xf numFmtId="0" fontId="26" fillId="33" borderId="0">
      <alignment vertical="center"/>
    </xf>
    <xf numFmtId="0" fontId="25" fillId="34" borderId="0">
      <alignment vertical="center"/>
    </xf>
    <xf numFmtId="0" fontId="25" fillId="35" borderId="0">
      <alignment vertical="center"/>
    </xf>
    <xf numFmtId="0" fontId="26" fillId="36" borderId="0">
      <alignment vertical="center"/>
    </xf>
    <xf numFmtId="0" fontId="26" fillId="37" borderId="0">
      <alignment vertical="center"/>
    </xf>
    <xf numFmtId="0" fontId="25" fillId="38" borderId="0">
      <alignment vertical="center"/>
    </xf>
    <xf numFmtId="0" fontId="25" fillId="39" borderId="0">
      <alignment vertical="center"/>
    </xf>
    <xf numFmtId="0" fontId="26" fillId="40" borderId="0">
      <alignment vertical="center"/>
    </xf>
    <xf numFmtId="0" fontId="26" fillId="41" borderId="0">
      <alignment vertical="center"/>
    </xf>
    <xf numFmtId="0" fontId="25" fillId="42" borderId="0">
      <alignment vertical="center"/>
    </xf>
  </cellStyleXfs>
  <cellXfs count="33">
    <xf numFmtId="0" fontId="0" fillId="0" borderId="0" xfId="0"/>
    <xf numFmtId="0" fontId="1" fillId="2" borderId="0" xfId="0" applyFont="1" applyFill="1" applyAlignment="1">
      <alignment horizontal="center"/>
    </xf>
    <xf numFmtId="0" fontId="0" fillId="3" borderId="1" xfId="0" applyFill="1" applyBorder="1"/>
    <xf numFmtId="180" fontId="0" fillId="3" borderId="1" xfId="0" applyNumberFormat="1" applyFill="1" applyBorder="1"/>
    <xf numFmtId="0" fontId="0" fillId="4" borderId="1" xfId="0" applyFill="1" applyBorder="1"/>
    <xf numFmtId="180" fontId="0" fillId="4" borderId="1" xfId="0" applyNumberFormat="1" applyFill="1" applyBorder="1"/>
    <xf numFmtId="0" fontId="2" fillId="5" borderId="0" xfId="0" applyFont="1" applyFill="1" applyAlignment="1">
      <alignment vertical="top" wrapText="1"/>
    </xf>
    <xf numFmtId="0" fontId="3" fillId="0" borderId="2" xfId="0" applyFont="1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0" fillId="0" borderId="3" xfId="0" applyBorder="1"/>
    <xf numFmtId="0" fontId="0" fillId="0" borderId="4" xfId="0" applyBorder="1"/>
    <xf numFmtId="0" fontId="1" fillId="5" borderId="2" xfId="0" applyFont="1" applyFill="1" applyBorder="1" applyAlignment="1">
      <alignment vertical="center"/>
    </xf>
    <xf numFmtId="0" fontId="0" fillId="0" borderId="2" xfId="0" applyBorder="1" applyAlignment="1">
      <alignment vertical="center"/>
    </xf>
    <xf numFmtId="181" fontId="0" fillId="0" borderId="2" xfId="0" applyNumberFormat="1" applyBorder="1" applyAlignment="1">
      <alignment vertical="center"/>
    </xf>
    <xf numFmtId="0" fontId="1" fillId="5" borderId="5" xfId="0" applyFont="1" applyFill="1" applyBorder="1" applyAlignment="1">
      <alignment vertical="center"/>
    </xf>
    <xf numFmtId="0" fontId="0" fillId="0" borderId="6" xfId="0" applyBorder="1" applyAlignment="1">
      <alignment vertical="center"/>
    </xf>
    <xf numFmtId="181" fontId="0" fillId="0" borderId="6" xfId="0" applyNumberFormat="1" applyBorder="1" applyAlignment="1">
      <alignment vertical="center"/>
    </xf>
    <xf numFmtId="10" fontId="0" fillId="0" borderId="6" xfId="0" applyNumberFormat="1" applyBorder="1" applyAlignment="1">
      <alignment vertical="center"/>
    </xf>
    <xf numFmtId="10" fontId="0" fillId="0" borderId="2" xfId="0" applyNumberFormat="1" applyBorder="1" applyAlignment="1">
      <alignment vertical="center"/>
    </xf>
    <xf numFmtId="182" fontId="0" fillId="0" borderId="2" xfId="0" applyNumberFormat="1" applyBorder="1" applyAlignment="1">
      <alignment vertical="center"/>
    </xf>
    <xf numFmtId="182" fontId="0" fillId="0" borderId="6" xfId="0" applyNumberFormat="1" applyBorder="1" applyAlignment="1">
      <alignment vertical="center"/>
    </xf>
    <xf numFmtId="182" fontId="0" fillId="0" borderId="6" xfId="0" applyNumberFormat="1" applyBorder="1" applyAlignment="1">
      <alignment horizontal="center"/>
    </xf>
    <xf numFmtId="182" fontId="0" fillId="0" borderId="2" xfId="0" applyNumberFormat="1" applyBorder="1" applyAlignment="1">
      <alignment horizontal="center"/>
    </xf>
    <xf numFmtId="0" fontId="4" fillId="2" borderId="0" xfId="0" applyFont="1" applyFill="1" applyAlignment="1">
      <alignment horizontal="center" vertical="center"/>
    </xf>
    <xf numFmtId="0" fontId="5" fillId="6" borderId="2" xfId="0" applyFont="1" applyFill="1" applyBorder="1" applyAlignment="1">
      <alignment horizontal="center" vertical="center"/>
    </xf>
    <xf numFmtId="0" fontId="5" fillId="7" borderId="2" xfId="0" applyFont="1" applyFill="1" applyBorder="1" applyAlignment="1">
      <alignment horizontal="center" vertical="center"/>
    </xf>
    <xf numFmtId="0" fontId="5" fillId="8" borderId="2" xfId="0" applyFont="1" applyFill="1" applyBorder="1" applyAlignment="1">
      <alignment horizontal="center" vertical="center"/>
    </xf>
    <xf numFmtId="0" fontId="5" fillId="0" borderId="2" xfId="0" applyFont="1" applyBorder="1"/>
    <xf numFmtId="0" fontId="5" fillId="9" borderId="2" xfId="0" applyFont="1" applyFill="1" applyBorder="1" applyAlignment="1">
      <alignment horizontal="center" vertical="center"/>
    </xf>
    <xf numFmtId="180" fontId="6" fillId="10" borderId="2" xfId="0" applyNumberFormat="1" applyFont="1" applyFill="1" applyBorder="1" applyAlignment="1">
      <alignment horizontal="center" vertical="center"/>
    </xf>
    <xf numFmtId="0" fontId="0" fillId="0" borderId="2" xfId="0" applyBorder="1"/>
    <xf numFmtId="183" fontId="6" fillId="10" borderId="2" xfId="0" applyNumberFormat="1" applyFont="1" applyFill="1" applyBorder="1" applyAlignment="1">
      <alignment horizontal="center" vertical="center"/>
    </xf>
    <xf numFmtId="0" fontId="7" fillId="11" borderId="0" xfId="0" applyFont="1" applyFill="1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tyles" Target="styles.xml"/><Relationship Id="rId12" Type="http://schemas.openxmlformats.org/officeDocument/2006/relationships/sharedStrings" Target="sharedStrings.xml"/><Relationship Id="rId11" Type="http://schemas.openxmlformats.org/officeDocument/2006/relationships/theme" Target="theme/theme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Monthly Income vs Expenses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'Chart Data'!$B$1</c:f>
              <c:strCache>
                <c:ptCount val="1"/>
                <c:pt idx="0">
                  <c:v>Income</c:v>
                </c:pt>
              </c:strCache>
            </c:strRef>
          </c:tx>
          <c:spPr>
            <a:ln w="9525" cap="flat" cmpd="sng" algn="ctr">
              <a:solidFill>
                <a:schemeClr val="lt1">
                  <a:shade val="95000"/>
                  <a:satMod val="105000"/>
                </a:schemeClr>
              </a:solidFill>
              <a:prstDash val="solid"/>
              <a:round/>
            </a:ln>
          </c:spPr>
          <c:invertIfNegative val="0"/>
          <c:dLbls>
            <c:delete val="1"/>
          </c:dLbls>
          <c:cat>
            <c:strRef>
              <c:f>'Chart Data'!$A$2:$A$3</c:f>
              <c:strCache>
                <c:ptCount val="2"/>
                <c:pt idx="0">
                  <c:v>September 2026</c:v>
                </c:pt>
                <c:pt idx="1">
                  <c:v>October 2026</c:v>
                </c:pt>
              </c:strCache>
            </c:strRef>
          </c:cat>
          <c:val>
            <c:numRef>
              <c:f>'Chart Data'!$B$2:$B$3</c:f>
              <c:numCache>
                <c:formatCode>General</c:formatCode>
                <c:ptCount val="2"/>
                <c:pt idx="0">
                  <c:v>63000</c:v>
                </c:pt>
                <c:pt idx="1">
                  <c:v>50000</c:v>
                </c:pt>
              </c:numCache>
            </c:numRef>
          </c:val>
        </c:ser>
        <c:ser>
          <c:idx val="1"/>
          <c:order val="1"/>
          <c:tx>
            <c:strRef>
              <c:f>'Chart Data'!$C$1</c:f>
              <c:strCache>
                <c:ptCount val="1"/>
                <c:pt idx="0">
                  <c:v>Expenses</c:v>
                </c:pt>
              </c:strCache>
            </c:strRef>
          </c:tx>
          <c:spPr>
            <a:ln w="9525" cap="flat" cmpd="sng" algn="ctr">
              <a:solidFill>
                <a:schemeClr val="lt1">
                  <a:shade val="95000"/>
                  <a:satMod val="105000"/>
                </a:schemeClr>
              </a:solidFill>
              <a:prstDash val="solid"/>
              <a:round/>
            </a:ln>
          </c:spPr>
          <c:invertIfNegative val="0"/>
          <c:dLbls>
            <c:delete val="1"/>
          </c:dLbls>
          <c:cat>
            <c:strRef>
              <c:f>'Chart Data'!$A$2:$A$3</c:f>
              <c:strCache>
                <c:ptCount val="2"/>
                <c:pt idx="0">
                  <c:v>September 2026</c:v>
                </c:pt>
                <c:pt idx="1">
                  <c:v>October 2026</c:v>
                </c:pt>
              </c:strCache>
            </c:strRef>
          </c:cat>
          <c:val>
            <c:numRef>
              <c:f>'Chart Data'!$C$2:$C$3</c:f>
              <c:numCache>
                <c:formatCode>General</c:formatCode>
                <c:ptCount val="2"/>
                <c:pt idx="0">
                  <c:v>28900</c:v>
                </c:pt>
                <c:pt idx="1">
                  <c:v>19700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0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Month</a:t>
                </a:r>
              </a:p>
            </c:rich>
          </c:tx>
          <c:layout/>
          <c:overlay val="0"/>
        </c:title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0"/>
        <c:crosses val="autoZero"/>
        <c:auto val="1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Amount (₹)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fe39977f-6962-4a81-a06a-e0089e7eb0d8}"/>
      </c:ext>
    </c:extLst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Expense Distribution by Category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'Chart Data'!$F$1</c:f>
              <c:strCache>
                <c:ptCount val="1"/>
                <c:pt idx="0">
                  <c:v>Expense Amount</c:v>
                </c:pt>
              </c:strCache>
            </c:strRef>
          </c:tx>
          <c:spPr/>
          <c:explosion val="0"/>
          <c:dPt>
            <c:idx val="0"/>
            <c:bubble3D val="0"/>
            <c:spPr>
              <a:gradFill>
                <a:gsLst>
                  <a:gs pos="0">
                    <a:schemeClr val="accent1">
                      <a:shade val="76667"/>
                      <a:lumMod val="40000"/>
                      <a:lumOff val="60000"/>
                    </a:schemeClr>
                  </a:gs>
                  <a:gs pos="90000">
                    <a:schemeClr val="accent1">
                      <a:shade val="76667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>
                        <a:shade val="76667"/>
                      </a:schemeClr>
                    </a:gs>
                    <a:gs pos="100000">
                      <a:schemeClr val="accent1">
                        <a:shade val="76667"/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Pt>
            <c:idx val="1"/>
            <c:bubble3D val="0"/>
            <c:spPr>
              <a:gradFill>
                <a:gsLst>
                  <a:gs pos="0">
                    <a:schemeClr val="accent2">
                      <a:shade val="76667"/>
                      <a:lumMod val="40000"/>
                      <a:lumOff val="60000"/>
                    </a:schemeClr>
                  </a:gs>
                  <a:gs pos="90000">
                    <a:schemeClr val="accent2">
                      <a:shade val="76667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>
                        <a:shade val="76667"/>
                      </a:schemeClr>
                    </a:gs>
                    <a:gs pos="100000">
                      <a:schemeClr val="accent2">
                        <a:shade val="76667"/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Pt>
            <c:idx val="2"/>
            <c:bubble3D val="0"/>
            <c:spPr>
              <a:gradFill>
                <a:gsLst>
                  <a:gs pos="0">
                    <a:schemeClr val="accent3">
                      <a:shade val="76667"/>
                      <a:lumMod val="40000"/>
                      <a:lumOff val="60000"/>
                    </a:schemeClr>
                  </a:gs>
                  <a:gs pos="90000">
                    <a:schemeClr val="accent3">
                      <a:shade val="76667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3">
                        <a:shade val="76667"/>
                      </a:schemeClr>
                    </a:gs>
                    <a:gs pos="100000">
                      <a:schemeClr val="accent3">
                        <a:shade val="76667"/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Pt>
            <c:idx val="3"/>
            <c:bubble3D val="0"/>
            <c:spPr>
              <a:gradFill>
                <a:gsLst>
                  <a:gs pos="0">
                    <a:schemeClr val="accent4">
                      <a:shade val="76667"/>
                      <a:lumMod val="40000"/>
                      <a:lumOff val="60000"/>
                    </a:schemeClr>
                  </a:gs>
                  <a:gs pos="90000">
                    <a:schemeClr val="accent4">
                      <a:shade val="76667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4">
                        <a:shade val="76667"/>
                      </a:schemeClr>
                    </a:gs>
                    <a:gs pos="100000">
                      <a:schemeClr val="accent4">
                        <a:shade val="76667"/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Pt>
            <c:idx val="4"/>
            <c:bubble3D val="0"/>
            <c:spPr>
              <a:gradFill>
                <a:gsLst>
                  <a:gs pos="0">
                    <a:schemeClr val="accent5">
                      <a:shade val="76667"/>
                      <a:lumMod val="40000"/>
                      <a:lumOff val="60000"/>
                    </a:schemeClr>
                  </a:gs>
                  <a:gs pos="90000">
                    <a:schemeClr val="accent5">
                      <a:shade val="76667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5">
                        <a:shade val="76667"/>
                      </a:schemeClr>
                    </a:gs>
                    <a:gs pos="100000">
                      <a:schemeClr val="accent5">
                        <a:shade val="76667"/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Pt>
            <c:idx val="5"/>
            <c:bubble3D val="0"/>
            <c:spPr>
              <a:gradFill>
                <a:gsLst>
                  <a:gs pos="0">
                    <a:schemeClr val="accent6">
                      <a:shade val="76667"/>
                      <a:lumMod val="40000"/>
                      <a:lumOff val="60000"/>
                    </a:schemeClr>
                  </a:gs>
                  <a:gs pos="90000">
                    <a:schemeClr val="accent6">
                      <a:shade val="76667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6">
                        <a:shade val="76667"/>
                      </a:schemeClr>
                    </a:gs>
                    <a:gs pos="100000">
                      <a:schemeClr val="accent6">
                        <a:shade val="76667"/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Pt>
            <c:idx val="6"/>
            <c:bubble3D val="0"/>
            <c:spPr>
              <a:gradFill>
                <a:gsLst>
                  <a:gs pos="0">
                    <a:schemeClr val="accent1">
                      <a:tint val="76667"/>
                      <a:lumMod val="40000"/>
                      <a:lumOff val="60000"/>
                    </a:schemeClr>
                  </a:gs>
                  <a:gs pos="90000">
                    <a:schemeClr val="accent1">
                      <a:tint val="76667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>
                        <a:tint val="76667"/>
                      </a:schemeClr>
                    </a:gs>
                    <a:gs pos="100000">
                      <a:schemeClr val="accent1">
                        <a:tint val="76667"/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Pt>
            <c:idx val="7"/>
            <c:bubble3D val="0"/>
            <c:spPr>
              <a:gradFill>
                <a:gsLst>
                  <a:gs pos="0">
                    <a:schemeClr val="accent2">
                      <a:tint val="76667"/>
                      <a:lumMod val="40000"/>
                      <a:lumOff val="60000"/>
                    </a:schemeClr>
                  </a:gs>
                  <a:gs pos="90000">
                    <a:schemeClr val="accent2">
                      <a:tint val="76667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>
                        <a:tint val="76667"/>
                      </a:schemeClr>
                    </a:gs>
                    <a:gs pos="100000">
                      <a:schemeClr val="accent2">
                        <a:tint val="76667"/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Pt>
            <c:idx val="8"/>
            <c:bubble3D val="0"/>
            <c:spPr>
              <a:gradFill>
                <a:gsLst>
                  <a:gs pos="0">
                    <a:schemeClr val="accent3">
                      <a:tint val="76667"/>
                      <a:lumMod val="40000"/>
                      <a:lumOff val="60000"/>
                    </a:schemeClr>
                  </a:gs>
                  <a:gs pos="90000">
                    <a:schemeClr val="accent3">
                      <a:tint val="76667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3">
                        <a:tint val="76667"/>
                      </a:schemeClr>
                    </a:gs>
                    <a:gs pos="100000">
                      <a:schemeClr val="accent3">
                        <a:tint val="76667"/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Lbls>
            <c:dLbl>
              <c:idx val="0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1" i="0" u="none" strike="noStrike" kern="1200" spc="0" baseline="0">
                      <a:solidFill>
                        <a:schemeClr val="accent1">
                          <a:shade val="76667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</c:extLst>
            </c:dLbl>
            <c:dLbl>
              <c:idx val="1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1" i="0" u="none" strike="noStrike" kern="1200" spc="0" baseline="0">
                      <a:solidFill>
                        <a:schemeClr val="accent2">
                          <a:shade val="76667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</c:extLst>
            </c:dLbl>
            <c:dLbl>
              <c:idx val="2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1" i="0" u="none" strike="noStrike" kern="1200" spc="0" baseline="0">
                      <a:solidFill>
                        <a:schemeClr val="accent3">
                          <a:shade val="76667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</c:extLst>
            </c:dLbl>
            <c:dLbl>
              <c:idx val="3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1" i="0" u="none" strike="noStrike" kern="1200" spc="0" baseline="0">
                      <a:solidFill>
                        <a:schemeClr val="accent4">
                          <a:shade val="76667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</c:extLst>
            </c:dLbl>
            <c:dLbl>
              <c:idx val="4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1" i="0" u="none" strike="noStrike" kern="1200" spc="0" baseline="0">
                      <a:solidFill>
                        <a:schemeClr val="accent5">
                          <a:shade val="76667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</c:extLst>
            </c:dLbl>
            <c:dLbl>
              <c:idx val="5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1" i="0" u="none" strike="noStrike" kern="1200" spc="0" baseline="0">
                      <a:solidFill>
                        <a:schemeClr val="accent6">
                          <a:shade val="76667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</c:extLst>
            </c:dLbl>
            <c:dLbl>
              <c:idx val="6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1" i="0" u="none" strike="noStrike" kern="1200" spc="0" baseline="0">
                      <a:solidFill>
                        <a:schemeClr val="accent1">
                          <a:tint val="76667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</c:extLst>
            </c:dLbl>
            <c:dLbl>
              <c:idx val="7"/>
              <c:delete val="1"/>
            </c:dLbl>
            <c:dLbl>
              <c:idx val="8"/>
              <c:delete val="1"/>
            </c:dLbl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1" i="0" u="none" strike="noStrike" kern="1200" spc="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1"/>
            <c:showVal val="1"/>
            <c:showCatName val="1"/>
            <c:showSerName val="1"/>
            <c:showPercent val="1"/>
            <c:showBubbleSize val="1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'Chart Data'!$E$2:$E$10</c:f>
              <c:strCache>
                <c:ptCount val="9"/>
                <c:pt idx="0">
                  <c:v>Food</c:v>
                </c:pt>
                <c:pt idx="1">
                  <c:v>Transport</c:v>
                </c:pt>
                <c:pt idx="2">
                  <c:v>Rent</c:v>
                </c:pt>
                <c:pt idx="3">
                  <c:v>Shopping</c:v>
                </c:pt>
                <c:pt idx="4">
                  <c:v>Entertainment</c:v>
                </c:pt>
                <c:pt idx="5">
                  <c:v>Bills</c:v>
                </c:pt>
                <c:pt idx="6">
                  <c:v>Health</c:v>
                </c:pt>
                <c:pt idx="7">
                  <c:v>Education</c:v>
                </c:pt>
                <c:pt idx="8">
                  <c:v>Other</c:v>
                </c:pt>
              </c:strCache>
            </c:strRef>
          </c:cat>
          <c:val>
            <c:numRef>
              <c:f>'Chart Data'!$F$2:$F$10</c:f>
              <c:numCache>
                <c:formatCode>General</c:formatCode>
                <c:ptCount val="9"/>
                <c:pt idx="0">
                  <c:v>7900</c:v>
                </c:pt>
                <c:pt idx="1">
                  <c:v>6200</c:v>
                </c:pt>
                <c:pt idx="2">
                  <c:v>24000</c:v>
                </c:pt>
                <c:pt idx="3">
                  <c:v>4000</c:v>
                </c:pt>
                <c:pt idx="4">
                  <c:v>1400</c:v>
                </c:pt>
                <c:pt idx="5">
                  <c:v>4400</c:v>
                </c:pt>
                <c:pt idx="6">
                  <c:v>700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</c:ser>
        <c:dLbls>
          <c:showLegendKey val="1"/>
          <c:showVal val="1"/>
          <c:showCatName val="1"/>
          <c:showSerName val="1"/>
          <c:showPercent val="1"/>
          <c:showBubbleSize val="1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bfbfe8e8-eee8-4985-92f0-e19d41508bf0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Monthly Savings Trend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'Chart Data'!$D$1</c:f>
              <c:strCache>
                <c:ptCount val="1"/>
                <c:pt idx="0">
                  <c:v>Savings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'Chart Data'!$A$2:$A$3</c:f>
              <c:strCache>
                <c:ptCount val="2"/>
                <c:pt idx="0">
                  <c:v>September 2026</c:v>
                </c:pt>
                <c:pt idx="1">
                  <c:v>October 2026</c:v>
                </c:pt>
              </c:strCache>
            </c:strRef>
          </c:cat>
          <c:val>
            <c:numRef>
              <c:f>'Chart Data'!$D$2:$D$3</c:f>
              <c:numCache>
                <c:formatCode>General</c:formatCode>
                <c:ptCount val="2"/>
                <c:pt idx="0">
                  <c:v>34100</c:v>
                </c:pt>
                <c:pt idx="1">
                  <c:v>30300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Month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00"/>
        <c:crosses val="autoZero"/>
        <c:auto val="1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Savings (₹)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a04fe59a-a214-42b3-80e2-9f15b098bdff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11"/>
    </mc:Choice>
    <mc:Fallback>
      <c:style val="11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Budget vs Actual Expenses</a:t>
            </a:r>
          </a:p>
        </c:rich>
      </c:tx>
      <c:layout/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'Chart Data'!$G$1</c:f>
              <c:strCache>
                <c:ptCount val="1"/>
                <c:pt idx="0">
                  <c:v>Budget</c:v>
                </c:pt>
              </c:strCache>
            </c:strRef>
          </c:tx>
          <c:spPr>
            <a:ln w="9525" cap="flat" cmpd="sng" algn="ctr">
              <a:solidFill>
                <a:schemeClr val="lt1">
                  <a:shade val="95000"/>
                  <a:satMod val="105000"/>
                </a:schemeClr>
              </a:solidFill>
              <a:prstDash val="solid"/>
              <a:round/>
            </a:ln>
          </c:spPr>
          <c:invertIfNegative val="0"/>
          <c:dLbls>
            <c:delete val="1"/>
          </c:dLbls>
          <c:cat>
            <c:strRef>
              <c:f>'Chart Data'!$E$2:$E$10</c:f>
              <c:strCache>
                <c:ptCount val="9"/>
                <c:pt idx="0">
                  <c:v>Food</c:v>
                </c:pt>
                <c:pt idx="1">
                  <c:v>Transport</c:v>
                </c:pt>
                <c:pt idx="2">
                  <c:v>Rent</c:v>
                </c:pt>
                <c:pt idx="3">
                  <c:v>Shopping</c:v>
                </c:pt>
                <c:pt idx="4">
                  <c:v>Entertainment</c:v>
                </c:pt>
                <c:pt idx="5">
                  <c:v>Bills</c:v>
                </c:pt>
                <c:pt idx="6">
                  <c:v>Health</c:v>
                </c:pt>
                <c:pt idx="7">
                  <c:v>Education</c:v>
                </c:pt>
                <c:pt idx="8">
                  <c:v>Other</c:v>
                </c:pt>
              </c:strCache>
            </c:strRef>
          </c:cat>
          <c:val>
            <c:numRef>
              <c:f>'Chart Data'!$G$2:$G$10</c:f>
              <c:numCache>
                <c:formatCode>General</c:formatCode>
                <c:ptCount val="9"/>
                <c:pt idx="0">
                  <c:v>5000</c:v>
                </c:pt>
                <c:pt idx="1">
                  <c:v>3000</c:v>
                </c:pt>
                <c:pt idx="2">
                  <c:v>12000</c:v>
                </c:pt>
                <c:pt idx="3">
                  <c:v>3000</c:v>
                </c:pt>
                <c:pt idx="4">
                  <c:v>2000</c:v>
                </c:pt>
                <c:pt idx="5">
                  <c:v>4000</c:v>
                </c:pt>
                <c:pt idx="6">
                  <c:v>1500</c:v>
                </c:pt>
                <c:pt idx="7">
                  <c:v>2000</c:v>
                </c:pt>
                <c:pt idx="8">
                  <c:v>2000</c:v>
                </c:pt>
              </c:numCache>
            </c:numRef>
          </c:val>
        </c:ser>
        <c:ser>
          <c:idx val="1"/>
          <c:order val="1"/>
          <c:tx>
            <c:strRef>
              <c:f>'Chart Data'!$H$1</c:f>
              <c:strCache>
                <c:ptCount val="1"/>
                <c:pt idx="0">
                  <c:v>Actual</c:v>
                </c:pt>
              </c:strCache>
            </c:strRef>
          </c:tx>
          <c:spPr>
            <a:ln w="9525" cap="flat" cmpd="sng" algn="ctr">
              <a:solidFill>
                <a:schemeClr val="lt1">
                  <a:shade val="95000"/>
                  <a:satMod val="105000"/>
                </a:schemeClr>
              </a:solidFill>
              <a:prstDash val="solid"/>
              <a:round/>
            </a:ln>
          </c:spPr>
          <c:invertIfNegative val="0"/>
          <c:dLbls>
            <c:delete val="1"/>
          </c:dLbls>
          <c:cat>
            <c:strRef>
              <c:f>'Chart Data'!$E$2:$E$10</c:f>
              <c:strCache>
                <c:ptCount val="9"/>
                <c:pt idx="0">
                  <c:v>Food</c:v>
                </c:pt>
                <c:pt idx="1">
                  <c:v>Transport</c:v>
                </c:pt>
                <c:pt idx="2">
                  <c:v>Rent</c:v>
                </c:pt>
                <c:pt idx="3">
                  <c:v>Shopping</c:v>
                </c:pt>
                <c:pt idx="4">
                  <c:v>Entertainment</c:v>
                </c:pt>
                <c:pt idx="5">
                  <c:v>Bills</c:v>
                </c:pt>
                <c:pt idx="6">
                  <c:v>Health</c:v>
                </c:pt>
                <c:pt idx="7">
                  <c:v>Education</c:v>
                </c:pt>
                <c:pt idx="8">
                  <c:v>Other</c:v>
                </c:pt>
              </c:strCache>
            </c:strRef>
          </c:cat>
          <c:val>
            <c:numRef>
              <c:f>'Chart Data'!$H$2:$H$10</c:f>
              <c:numCache>
                <c:formatCode>General</c:formatCode>
                <c:ptCount val="9"/>
                <c:pt idx="0">
                  <c:v>7900</c:v>
                </c:pt>
                <c:pt idx="1">
                  <c:v>6200</c:v>
                </c:pt>
                <c:pt idx="2">
                  <c:v>24000</c:v>
                </c:pt>
                <c:pt idx="3">
                  <c:v>4000</c:v>
                </c:pt>
                <c:pt idx="4">
                  <c:v>1400</c:v>
                </c:pt>
                <c:pt idx="5">
                  <c:v>4400</c:v>
                </c:pt>
                <c:pt idx="6">
                  <c:v>700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l"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Amount (₹)</a:t>
                </a:r>
              </a:p>
            </c:rich>
          </c:tx>
          <c:layout/>
          <c:overlay val="0"/>
        </c:title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0"/>
        <c:crosses val="autoZero"/>
        <c:auto val="1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b"/>
        <c:majorGridlines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Category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f0dbee8c-e2ff-472f-acc2-1df537bf6dc3}"/>
      </c:ext>
    </c:extLst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Income Sources Analysis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'Chart Data'!$J$1</c:f>
              <c:strCache>
                <c:ptCount val="1"/>
                <c:pt idx="0">
                  <c:v>Income Amount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'Chart Data'!$I$2:$I$3</c:f>
              <c:strCache>
                <c:ptCount val="2"/>
                <c:pt idx="0">
                  <c:v>Company</c:v>
                </c:pt>
                <c:pt idx="1">
                  <c:v>Freelance Client</c:v>
                </c:pt>
              </c:strCache>
            </c:strRef>
          </c:cat>
          <c:val>
            <c:numRef>
              <c:f>'Chart Data'!$J$2:$J$3</c:f>
              <c:numCache>
                <c:formatCode>General</c:formatCode>
                <c:ptCount val="2"/>
                <c:pt idx="0">
                  <c:v>105000</c:v>
                </c:pt>
                <c:pt idx="1">
                  <c:v>8000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40"/>
        <c:overlap val="-40"/>
        <c:axId val="10"/>
        <c:axId val="100"/>
      </c:barChart>
      <c:catAx>
        <c:axId val="10"/>
        <c:scaling>
          <c:orientation val="minMax"/>
        </c:scaling>
        <c:delete val="0"/>
        <c:axPos val="l"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Amount (₹)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00"/>
        <c:crosses val="autoZero"/>
        <c:auto val="1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19b0ae0a-8dbd-4964-8696-d6f4f8b8e3bd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4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Payment Mode Analysis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doughnutChart>
        <c:varyColors val="1"/>
        <c:ser>
          <c:idx val="0"/>
          <c:order val="0"/>
          <c:tx>
            <c:strRef>
              <c:f>'Chart Data'!$L$1</c:f>
              <c:strCache>
                <c:ptCount val="1"/>
                <c:pt idx="0">
                  <c:v>Payment Amount</c:v>
                </c:pt>
              </c:strCache>
            </c:strRef>
          </c:tx>
          <c:spPr/>
          <c:explosion val="0"/>
          <c:dPt>
            <c:idx val="0"/>
            <c:bubble3D val="0"/>
            <c:spPr>
              <a:gradFill>
                <a:gsLst>
                  <a:gs pos="0">
                    <a:schemeClr val="accent1">
                      <a:hueOff val="-1670000"/>
                    </a:schemeClr>
                  </a:gs>
                  <a:gs pos="100000">
                    <a:schemeClr val="accent1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>
                        <a:lumMod val="75000"/>
                        <a:hueOff val="-1670000"/>
                      </a:schemeClr>
                    </a:gs>
                    <a:gs pos="100000">
                      <a:schemeClr val="accent1">
                        <a:lumMod val="75000"/>
                      </a:schemeClr>
                    </a:gs>
                  </a:gsLst>
                  <a:lin ang="5160000" scaled="1"/>
                </a:gradFill>
              </a:ln>
              <a:effectLst/>
            </c:spPr>
          </c:dPt>
          <c:dPt>
            <c:idx val="1"/>
            <c:bubble3D val="0"/>
            <c:spPr>
              <a:gradFill>
                <a:gsLst>
                  <a:gs pos="0">
                    <a:schemeClr val="accent2">
                      <a:hueOff val="-1670000"/>
                    </a:schemeClr>
                  </a:gs>
                  <a:gs pos="100000">
                    <a:schemeClr val="accent2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>
                        <a:lumMod val="75000"/>
                        <a:hueOff val="-1670000"/>
                      </a:schemeClr>
                    </a:gs>
                    <a:gs pos="100000">
                      <a:schemeClr val="accent2">
                        <a:lumMod val="75000"/>
                      </a:schemeClr>
                    </a:gs>
                  </a:gsLst>
                  <a:lin ang="5160000" scaled="1"/>
                </a:gradFill>
              </a:ln>
              <a:effectLst/>
            </c:spPr>
          </c:dPt>
          <c:dPt>
            <c:idx val="2"/>
            <c:bubble3D val="0"/>
            <c:spPr>
              <a:gradFill>
                <a:gsLst>
                  <a:gs pos="0">
                    <a:schemeClr val="accent3">
                      <a:hueOff val="-1670000"/>
                    </a:schemeClr>
                  </a:gs>
                  <a:gs pos="100000">
                    <a:schemeClr val="accent3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3">
                        <a:lumMod val="75000"/>
                        <a:hueOff val="-1670000"/>
                      </a:schemeClr>
                    </a:gs>
                    <a:gs pos="100000">
                      <a:schemeClr val="accent3">
                        <a:lumMod val="75000"/>
                      </a:schemeClr>
                    </a:gs>
                  </a:gsLst>
                  <a:lin ang="5160000" scaled="1"/>
                </a:gradFill>
              </a:ln>
              <a:effectLst/>
            </c:spPr>
          </c:dPt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showLegendKey val="1"/>
            <c:showVal val="1"/>
            <c:showCatName val="1"/>
            <c:showSerName val="1"/>
            <c:showPercent val="1"/>
            <c:showBubbleSize val="1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'Chart Data'!$K$2:$K$4</c:f>
              <c:strCache>
                <c:ptCount val="3"/>
                <c:pt idx="0">
                  <c:v>Bank</c:v>
                </c:pt>
                <c:pt idx="1">
                  <c:v>UPI</c:v>
                </c:pt>
                <c:pt idx="2">
                  <c:v>Card</c:v>
                </c:pt>
              </c:strCache>
            </c:strRef>
          </c:cat>
          <c:val>
            <c:numRef>
              <c:f>'Chart Data'!$L$2:$L$4</c:f>
              <c:numCache>
                <c:formatCode>General</c:formatCode>
                <c:ptCount val="3"/>
                <c:pt idx="0">
                  <c:v>24000</c:v>
                </c:pt>
                <c:pt idx="1">
                  <c:v>17400</c:v>
                </c:pt>
                <c:pt idx="2">
                  <c:v>7200</c:v>
                </c:pt>
              </c:numCache>
            </c:numRef>
          </c:val>
        </c:ser>
        <c:dLbls>
          <c:showLegendKey val="1"/>
          <c:showVal val="1"/>
          <c:showCatName val="1"/>
          <c:showSerName val="1"/>
          <c:showPercent val="1"/>
          <c:showBubbleSize val="1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0c1b6ce4-4cbc-4180-86fb-8757422c3dd9}"/>
      </c:ext>
    </c:extLst>
  </c:chart>
  <c:spPr>
    <a:solidFill>
      <a:schemeClr val="lt1">
        <a:lumMod val="96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acrossLinear" id="2">
  <a:schemeClr val="accent1"/>
  <a:schemeClr val="accent2"/>
  <a:schemeClr val="accent3"/>
  <a:schemeClr val="accent4"/>
  <a:schemeClr val="accent5"/>
  <a:schemeClr val="accent6"/>
</cs:colorStyle>
</file>

<file path=xl/charts/colors2.xml><?xml version="1.0" encoding="utf-8"?>
<cs:colorStyle xmlns:cs="http://schemas.microsoft.com/office/drawing/2012/chartStyle" xmlns:a="http://schemas.openxmlformats.org/drawingml/2006/main" meth="withinLinear" id="5">
  <a:schemeClr val="accent3"/>
  <a:schemeClr val="accent3"/>
  <a:schemeClr val="accent3"/>
  <a:schemeClr val="accent3"/>
  <a:schemeClr val="accent3"/>
  <a:schemeClr val="accent3"/>
</cs:colorStyle>
</file>

<file path=xl/charts/colors3.xml><?xml version="1.0" encoding="utf-8"?>
<cs:colorStyle xmlns:cs="http://schemas.microsoft.com/office/drawing/2012/chartStyle" xmlns:a="http://schemas.openxmlformats.org/drawingml/2006/main" meth="acrossLinear" id="2">
  <a:schemeClr val="accent1"/>
  <a:schemeClr val="accent2"/>
  <a:schemeClr val="accent3"/>
  <a:schemeClr val="accent4"/>
  <a:schemeClr val="accent5"/>
  <a:schemeClr val="accent6"/>
</cs:colorStyle>
</file>

<file path=xl/charts/colors4.xml><?xml version="1.0" encoding="utf-8"?>
<cs:colorStyle xmlns:cs="http://schemas.microsoft.com/office/drawing/2012/chartStyle" xmlns:a="http://schemas.openxmlformats.org/drawingml/2006/main" meth="acrossLinear" id="2">
  <a:schemeClr val="accent1"/>
  <a:schemeClr val="accent2"/>
  <a:schemeClr val="accent3"/>
  <a:schemeClr val="accent4"/>
  <a:schemeClr val="accent5"/>
  <a:schemeClr val="accent6"/>
</cs:colorStyle>
</file>

<file path=xl/charts/style1.xml><?xml version="1.0" encoding="utf-8"?>
<cs:chartStyle xmlns:cs="http://schemas.microsoft.com/office/drawing/2012/chartStyle" xmlns:a="http://schemas.openxmlformats.org/drawingml/2006/main" id="1008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>
              <a:lumMod val="40000"/>
              <a:lumOff val="60000"/>
            </a:schemeClr>
          </a:gs>
          <a:gs pos="90000">
            <a:schemeClr val="phClr"/>
          </a:gs>
        </a:gsLst>
        <a:lin ang="5400000" scaled="0"/>
      </a:gradFill>
      <a:ln>
        <a:gradFill>
          <a:gsLst>
            <a:gs pos="0">
              <a:schemeClr val="phClr"/>
            </a:gs>
            <a:gs pos="100000">
              <a:schemeClr val="phClr">
                <a:lumMod val="75000"/>
              </a:schemeClr>
            </a:gs>
          </a:gsLst>
          <a:lin ang="5400000" scaled="1"/>
        </a:gra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11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1011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lt1">
          <a:lumMod val="96000"/>
        </a:schemeClr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>
              <a:hueOff val="-1670000"/>
            </a:schemeClr>
          </a:gs>
          <a:gs pos="100000">
            <a:schemeClr val="phClr"/>
          </a:gs>
        </a:gsLst>
        <a:lin ang="5400000" scaled="0"/>
      </a:gradFill>
      <a:ln>
        <a:gradFill>
          <a:gsLst>
            <a:gs pos="0">
              <a:schemeClr val="phClr">
                <a:lumMod val="75000"/>
                <a:hueOff val="-1670000"/>
              </a:schemeClr>
            </a:gs>
            <a:gs pos="100000">
              <a:schemeClr val="phClr">
                <a:lumMod val="75000"/>
              </a:schemeClr>
            </a:gs>
          </a:gsLst>
          <a:lin ang="5160000" scaled="1"/>
        </a:gra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45085</xdr:colOff>
      <xdr:row>5</xdr:row>
      <xdr:rowOff>313690</xdr:rowOff>
    </xdr:from>
    <xdr:ext cx="5521325" cy="4147185"/>
    <xdr:graphicFrame>
      <xdr:nvGraphicFramePr>
        <xdr:cNvPr id="2" name="Chart 1"/>
        <xdr:cNvGraphicFramePr/>
      </xdr:nvGraphicFramePr>
      <xdr:xfrm>
        <a:off x="45085" y="1837690"/>
        <a:ext cx="5521325" cy="414718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6</xdr:col>
      <xdr:colOff>346710</xdr:colOff>
      <xdr:row>6</xdr:row>
      <xdr:rowOff>22225</xdr:rowOff>
    </xdr:from>
    <xdr:ext cx="8089900" cy="4084320"/>
    <xdr:graphicFrame>
      <xdr:nvGraphicFramePr>
        <xdr:cNvPr id="3" name="Chart 2"/>
        <xdr:cNvGraphicFramePr/>
      </xdr:nvGraphicFramePr>
      <xdr:xfrm>
        <a:off x="5947410" y="1863725"/>
        <a:ext cx="8089900" cy="40843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0</xdr:col>
      <xdr:colOff>31750</xdr:colOff>
      <xdr:row>21</xdr:row>
      <xdr:rowOff>220980</xdr:rowOff>
    </xdr:from>
    <xdr:ext cx="5545455" cy="3653790"/>
    <xdr:graphicFrame>
      <xdr:nvGraphicFramePr>
        <xdr:cNvPr id="4" name="Chart 3"/>
        <xdr:cNvGraphicFramePr/>
      </xdr:nvGraphicFramePr>
      <xdr:xfrm>
        <a:off x="31750" y="6253480"/>
        <a:ext cx="5545455" cy="365379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6</xdr:col>
      <xdr:colOff>349885</xdr:colOff>
      <xdr:row>21</xdr:row>
      <xdr:rowOff>245745</xdr:rowOff>
    </xdr:from>
    <xdr:ext cx="5611495" cy="3652520"/>
    <xdr:graphicFrame>
      <xdr:nvGraphicFramePr>
        <xdr:cNvPr id="5" name="Chart 4"/>
        <xdr:cNvGraphicFramePr/>
      </xdr:nvGraphicFramePr>
      <xdr:xfrm>
        <a:off x="5950585" y="6278245"/>
        <a:ext cx="5611495" cy="36525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0</xdr:col>
      <xdr:colOff>9525</xdr:colOff>
      <xdr:row>36</xdr:row>
      <xdr:rowOff>278765</xdr:rowOff>
    </xdr:from>
    <xdr:ext cx="5421630" cy="3150235"/>
    <xdr:graphicFrame>
      <xdr:nvGraphicFramePr>
        <xdr:cNvPr id="6" name="Chart 5"/>
        <xdr:cNvGraphicFramePr/>
      </xdr:nvGraphicFramePr>
      <xdr:xfrm>
        <a:off x="9525" y="10502265"/>
        <a:ext cx="5421630" cy="315023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  <xdr:oneCellAnchor>
    <xdr:from>
      <xdr:col>6</xdr:col>
      <xdr:colOff>248285</xdr:colOff>
      <xdr:row>36</xdr:row>
      <xdr:rowOff>278130</xdr:rowOff>
    </xdr:from>
    <xdr:ext cx="5835015" cy="3173730"/>
    <xdr:graphicFrame>
      <xdr:nvGraphicFramePr>
        <xdr:cNvPr id="7" name="Chart 6"/>
        <xdr:cNvGraphicFramePr/>
      </xdr:nvGraphicFramePr>
      <xdr:xfrm>
        <a:off x="5848985" y="10501630"/>
        <a:ext cx="5835015" cy="317373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N59"/>
  <sheetViews>
    <sheetView showGridLines="0" tabSelected="1" zoomScale="85" zoomScaleNormal="85" workbookViewId="0">
      <pane ySplit="3" topLeftCell="A46" activePane="bottomLeft" state="frozen"/>
      <selection/>
      <selection pane="bottomLeft" activeCell="N6" sqref="N6"/>
    </sheetView>
  </sheetViews>
  <sheetFormatPr defaultColWidth="9" defaultRowHeight="15"/>
  <cols>
    <col min="1" max="14" width="14" customWidth="1"/>
  </cols>
  <sheetData>
    <row r="1" ht="28" customHeight="1" spans="1:12">
      <c r="A1" s="23" t="s">
        <v>0</v>
      </c>
    </row>
    <row r="2" ht="20" customHeight="1"/>
    <row r="3" ht="22" customHeight="1"/>
    <row r="4" ht="25" customHeight="1" spans="1:12">
      <c r="A4" s="24" t="s">
        <v>1</v>
      </c>
      <c r="B4" s="24"/>
      <c r="C4" s="24"/>
      <c r="D4" s="25" t="s">
        <v>2</v>
      </c>
      <c r="E4" s="25"/>
      <c r="F4" s="25"/>
      <c r="G4" s="26" t="s">
        <v>3</v>
      </c>
      <c r="H4" s="27"/>
      <c r="I4" s="27"/>
      <c r="J4" s="28" t="s">
        <v>4</v>
      </c>
      <c r="K4" s="27"/>
      <c r="L4" s="27"/>
    </row>
    <row r="5" ht="25" customHeight="1" spans="1:12">
      <c r="A5" s="29">
        <f>SUMIF(Transactions!$B$2:$B$1000,"Income",Transactions!$E$2:$E$1000)</f>
        <v>113000</v>
      </c>
      <c r="B5" s="30"/>
      <c r="C5" s="30"/>
      <c r="D5" s="29">
        <f>SUMIF(Transactions!$B$2:$B$1000,"Expense",Transactions!$E$2:$E$1000)</f>
        <v>48600</v>
      </c>
      <c r="E5" s="30"/>
      <c r="F5" s="30"/>
      <c r="G5" s="29">
        <f>A5-D5</f>
        <v>64400</v>
      </c>
      <c r="H5" s="30"/>
      <c r="I5" s="30"/>
      <c r="J5" s="31">
        <f>IF(A5=0,0,G5/A5)</f>
        <v>0.569911504424779</v>
      </c>
      <c r="K5" s="30"/>
      <c r="L5" s="30"/>
    </row>
    <row r="6" ht="25" customHeight="1" spans="1:12">
      <c r="A6" s="30"/>
      <c r="B6" s="30"/>
      <c r="C6" s="30"/>
      <c r="D6" s="30"/>
      <c r="E6" s="30"/>
      <c r="F6" s="30"/>
      <c r="G6" s="30"/>
      <c r="H6" s="30"/>
      <c r="I6" s="30"/>
      <c r="J6" s="30"/>
      <c r="K6" s="30"/>
      <c r="L6" s="30"/>
    </row>
    <row r="7" ht="22" customHeight="1"/>
    <row r="8" ht="22" customHeight="1"/>
    <row r="9" ht="22" customHeight="1"/>
    <row r="10" ht="22" customHeight="1"/>
    <row r="11" ht="22" customHeight="1"/>
    <row r="12" ht="22" customHeight="1"/>
    <row r="13" ht="22" customHeight="1"/>
    <row r="14" ht="22" customHeight="1"/>
    <row r="15" ht="22" customHeight="1"/>
    <row r="16" ht="22" customHeight="1"/>
    <row r="17" ht="22" customHeight="1"/>
    <row r="18" ht="22" customHeight="1"/>
    <row r="19" ht="22" customHeight="1"/>
    <row r="20" ht="22" customHeight="1"/>
    <row r="21" ht="22" customHeight="1"/>
    <row r="22" ht="22" customHeight="1"/>
    <row r="23" ht="22" customHeight="1"/>
    <row r="24" ht="22" customHeight="1"/>
    <row r="25" ht="22" customHeight="1"/>
    <row r="26" ht="22" customHeight="1"/>
    <row r="27" ht="22" customHeight="1"/>
    <row r="28" ht="22" customHeight="1"/>
    <row r="29" ht="22" customHeight="1"/>
    <row r="30" ht="22" customHeight="1"/>
    <row r="31" ht="22" customHeight="1"/>
    <row r="32" ht="22" customHeight="1"/>
    <row r="33" ht="22" customHeight="1"/>
    <row r="34" ht="22" customHeight="1"/>
    <row r="35" ht="22" customHeight="1"/>
    <row r="36" ht="22" customHeight="1"/>
    <row r="37" ht="22" customHeight="1"/>
    <row r="38" ht="22" customHeight="1"/>
    <row r="39" ht="22" customHeight="1"/>
    <row r="40" ht="22" customHeight="1"/>
    <row r="41" ht="22" customHeight="1"/>
    <row r="42" ht="22" customHeight="1"/>
    <row r="43" ht="22" customHeight="1"/>
    <row r="44" ht="22" customHeight="1"/>
    <row r="45" ht="22" customHeight="1"/>
    <row r="46" ht="22" customHeight="1"/>
    <row r="47" ht="22" customHeight="1"/>
    <row r="48" ht="22" customHeight="1"/>
    <row r="49" ht="22" customHeight="1"/>
    <row r="50" ht="22" customHeight="1"/>
    <row r="51" ht="22" customHeight="1"/>
    <row r="52" ht="22" customHeight="1"/>
    <row r="53" ht="22" customHeight="1"/>
    <row r="54" ht="22" customHeight="1" spans="1:1">
      <c r="A54" s="32" t="s">
        <v>5</v>
      </c>
    </row>
    <row r="55" ht="22" customHeight="1"/>
    <row r="56" ht="22" customHeight="1"/>
    <row r="57" ht="22" customHeight="1"/>
    <row r="58" ht="22" customHeight="1"/>
    <row r="59" ht="22" customHeight="1"/>
  </sheetData>
  <mergeCells count="29">
    <mergeCell ref="A4:C4"/>
    <mergeCell ref="D4:F4"/>
    <mergeCell ref="G4:I4"/>
    <mergeCell ref="G4:H4"/>
    <mergeCell ref="J4:L4"/>
    <mergeCell ref="A8:B8"/>
    <mergeCell ref="D8:E8"/>
    <mergeCell ref="G8:H8"/>
    <mergeCell ref="A9:B9"/>
    <mergeCell ref="A10:B10"/>
    <mergeCell ref="A11:B11"/>
    <mergeCell ref="A12:B12"/>
    <mergeCell ref="A13:B13"/>
    <mergeCell ref="A14:B14"/>
    <mergeCell ref="A15:B15"/>
    <mergeCell ref="A16:B16"/>
    <mergeCell ref="A27:H27"/>
    <mergeCell ref="A38:D38"/>
    <mergeCell ref="A5:C6"/>
    <mergeCell ref="D5:F6"/>
    <mergeCell ref="G5:I6"/>
    <mergeCell ref="J5:L6"/>
    <mergeCell ref="A5:B6"/>
    <mergeCell ref="C5:D6"/>
    <mergeCell ref="E5:F6"/>
    <mergeCell ref="G5:H6"/>
    <mergeCell ref="A1:H2"/>
    <mergeCell ref="A1:N2"/>
    <mergeCell ref="A54:N55"/>
  </mergeCells>
  <pageMargins left="0.75" right="0.75" top="1" bottom="1" header="0.5" footer="0.5"/>
  <pageSetup paperSize="1" fitToHeight="0" orientation="landscape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1"/>
  <sheetViews>
    <sheetView workbookViewId="0">
      <pane ySplit="1" topLeftCell="A2" activePane="bottomLeft" state="frozen"/>
      <selection/>
      <selection pane="bottomLeft" activeCell="H13" sqref="H13"/>
    </sheetView>
  </sheetViews>
  <sheetFormatPr defaultColWidth="9" defaultRowHeight="15" outlineLevelCol="5"/>
  <cols>
    <col min="1" max="1" width="14" customWidth="1"/>
    <col min="2" max="2" width="12" customWidth="1"/>
    <col min="3" max="3" width="18" customWidth="1"/>
    <col min="4" max="4" width="25" customWidth="1"/>
    <col min="5" max="6" width="15" customWidth="1"/>
  </cols>
  <sheetData>
    <row r="1" spans="1:6">
      <c r="A1" s="14" t="s">
        <v>6</v>
      </c>
      <c r="B1" s="14" t="s">
        <v>7</v>
      </c>
      <c r="C1" s="14" t="s">
        <v>8</v>
      </c>
      <c r="D1" s="14" t="s">
        <v>9</v>
      </c>
      <c r="E1" s="14" t="s">
        <v>10</v>
      </c>
      <c r="F1" s="14" t="s">
        <v>11</v>
      </c>
    </row>
    <row r="2" spans="1:6">
      <c r="A2" s="21">
        <v>46266</v>
      </c>
      <c r="B2" s="15" t="s">
        <v>12</v>
      </c>
      <c r="C2" s="15" t="s">
        <v>13</v>
      </c>
      <c r="D2" s="15" t="s">
        <v>14</v>
      </c>
      <c r="E2" s="16">
        <v>50000</v>
      </c>
      <c r="F2" s="15" t="s">
        <v>15</v>
      </c>
    </row>
    <row r="3" spans="1:6">
      <c r="A3" s="22">
        <v>46267</v>
      </c>
      <c r="B3" s="12" t="s">
        <v>16</v>
      </c>
      <c r="C3" s="12" t="s">
        <v>17</v>
      </c>
      <c r="D3" s="12" t="s">
        <v>18</v>
      </c>
      <c r="E3" s="13">
        <v>3500</v>
      </c>
      <c r="F3" s="12" t="s">
        <v>19</v>
      </c>
    </row>
    <row r="4" spans="1:6">
      <c r="A4" s="22">
        <v>46269</v>
      </c>
      <c r="B4" s="12" t="s">
        <v>16</v>
      </c>
      <c r="C4" s="12" t="s">
        <v>20</v>
      </c>
      <c r="D4" s="12" t="s">
        <v>21</v>
      </c>
      <c r="E4" s="13">
        <v>1500</v>
      </c>
      <c r="F4" s="12" t="s">
        <v>19</v>
      </c>
    </row>
    <row r="5" spans="1:6">
      <c r="A5" s="22">
        <v>46271</v>
      </c>
      <c r="B5" s="12" t="s">
        <v>16</v>
      </c>
      <c r="C5" s="12" t="s">
        <v>22</v>
      </c>
      <c r="D5" s="12" t="s">
        <v>23</v>
      </c>
      <c r="E5" s="13">
        <v>12000</v>
      </c>
      <c r="F5" s="12" t="s">
        <v>15</v>
      </c>
    </row>
    <row r="6" spans="1:6">
      <c r="A6" s="22">
        <v>46273</v>
      </c>
      <c r="B6" s="12" t="s">
        <v>16</v>
      </c>
      <c r="C6" s="12" t="s">
        <v>24</v>
      </c>
      <c r="D6" s="12" t="s">
        <v>25</v>
      </c>
      <c r="E6" s="13">
        <v>2500</v>
      </c>
      <c r="F6" s="12" t="s">
        <v>26</v>
      </c>
    </row>
    <row r="7" spans="1:6">
      <c r="A7" s="22">
        <v>46275</v>
      </c>
      <c r="B7" s="12" t="s">
        <v>16</v>
      </c>
      <c r="C7" s="12" t="s">
        <v>27</v>
      </c>
      <c r="D7" s="12" t="s">
        <v>28</v>
      </c>
      <c r="E7" s="13">
        <v>800</v>
      </c>
      <c r="F7" s="12" t="s">
        <v>19</v>
      </c>
    </row>
    <row r="8" spans="1:6">
      <c r="A8" s="22">
        <v>46277</v>
      </c>
      <c r="B8" s="12" t="s">
        <v>16</v>
      </c>
      <c r="C8" s="12" t="s">
        <v>29</v>
      </c>
      <c r="D8" s="12" t="s">
        <v>30</v>
      </c>
      <c r="E8" s="13">
        <v>1800</v>
      </c>
      <c r="F8" s="12" t="s">
        <v>19</v>
      </c>
    </row>
    <row r="9" spans="1:6">
      <c r="A9" s="22">
        <v>46280</v>
      </c>
      <c r="B9" s="12" t="s">
        <v>12</v>
      </c>
      <c r="C9" s="12" t="s">
        <v>31</v>
      </c>
      <c r="D9" s="12" t="s">
        <v>32</v>
      </c>
      <c r="E9" s="13">
        <v>8000</v>
      </c>
      <c r="F9" s="12" t="s">
        <v>15</v>
      </c>
    </row>
    <row r="10" spans="1:6">
      <c r="A10" s="22">
        <v>46283</v>
      </c>
      <c r="B10" s="12" t="s">
        <v>16</v>
      </c>
      <c r="C10" s="12" t="s">
        <v>17</v>
      </c>
      <c r="D10" s="12" t="s">
        <v>33</v>
      </c>
      <c r="E10" s="13">
        <v>1200</v>
      </c>
      <c r="F10" s="12" t="s">
        <v>19</v>
      </c>
    </row>
    <row r="11" spans="1:6">
      <c r="A11" s="22">
        <v>46285</v>
      </c>
      <c r="B11" s="12" t="s">
        <v>16</v>
      </c>
      <c r="C11" s="12" t="s">
        <v>34</v>
      </c>
      <c r="D11" s="12" t="s">
        <v>35</v>
      </c>
      <c r="E11" s="13">
        <v>700</v>
      </c>
      <c r="F11" s="12" t="s">
        <v>19</v>
      </c>
    </row>
    <row r="12" spans="1:6">
      <c r="A12" s="22">
        <v>46287</v>
      </c>
      <c r="B12" s="12" t="s">
        <v>16</v>
      </c>
      <c r="C12" s="12" t="s">
        <v>20</v>
      </c>
      <c r="D12" s="12" t="s">
        <v>36</v>
      </c>
      <c r="E12" s="13">
        <v>2500</v>
      </c>
      <c r="F12" s="12" t="s">
        <v>26</v>
      </c>
    </row>
    <row r="13" spans="1:6">
      <c r="A13" s="22">
        <v>46290</v>
      </c>
      <c r="B13" s="12" t="s">
        <v>16</v>
      </c>
      <c r="C13" s="12" t="s">
        <v>24</v>
      </c>
      <c r="D13" s="12" t="s">
        <v>37</v>
      </c>
      <c r="E13" s="13">
        <v>1500</v>
      </c>
      <c r="F13" s="12" t="s">
        <v>19</v>
      </c>
    </row>
    <row r="14" spans="1:6">
      <c r="A14" s="22">
        <v>46292</v>
      </c>
      <c r="B14" s="12" t="s">
        <v>16</v>
      </c>
      <c r="C14" s="12" t="s">
        <v>29</v>
      </c>
      <c r="D14" s="12" t="s">
        <v>38</v>
      </c>
      <c r="E14" s="13">
        <v>900</v>
      </c>
      <c r="F14" s="12" t="s">
        <v>19</v>
      </c>
    </row>
    <row r="15" spans="1:6">
      <c r="A15" s="22">
        <v>46294</v>
      </c>
      <c r="B15" s="12" t="s">
        <v>12</v>
      </c>
      <c r="C15" s="12" t="s">
        <v>39</v>
      </c>
      <c r="D15" s="12" t="s">
        <v>40</v>
      </c>
      <c r="E15" s="13">
        <v>5000</v>
      </c>
      <c r="F15" s="12" t="s">
        <v>15</v>
      </c>
    </row>
    <row r="16" spans="1:6">
      <c r="A16" s="22">
        <v>46296</v>
      </c>
      <c r="B16" s="12" t="s">
        <v>12</v>
      </c>
      <c r="C16" s="12" t="s">
        <v>13</v>
      </c>
      <c r="D16" s="12" t="s">
        <v>14</v>
      </c>
      <c r="E16" s="13">
        <v>50000</v>
      </c>
      <c r="F16" s="12" t="s">
        <v>15</v>
      </c>
    </row>
    <row r="17" spans="1:6">
      <c r="A17" s="22">
        <v>46297</v>
      </c>
      <c r="B17" s="12" t="s">
        <v>16</v>
      </c>
      <c r="C17" s="12" t="s">
        <v>22</v>
      </c>
      <c r="D17" s="12" t="s">
        <v>23</v>
      </c>
      <c r="E17" s="13">
        <v>12000</v>
      </c>
      <c r="F17" s="12" t="s">
        <v>15</v>
      </c>
    </row>
    <row r="18" spans="1:6">
      <c r="A18" s="22">
        <v>46298</v>
      </c>
      <c r="B18" s="12" t="s">
        <v>16</v>
      </c>
      <c r="C18" s="12" t="s">
        <v>17</v>
      </c>
      <c r="D18" s="12" t="s">
        <v>18</v>
      </c>
      <c r="E18" s="13">
        <v>3200</v>
      </c>
      <c r="F18" s="12" t="s">
        <v>19</v>
      </c>
    </row>
    <row r="19" spans="1:6">
      <c r="A19" s="22">
        <v>46299</v>
      </c>
      <c r="B19" s="12" t="s">
        <v>16</v>
      </c>
      <c r="C19" s="12" t="s">
        <v>20</v>
      </c>
      <c r="D19" s="12" t="s">
        <v>36</v>
      </c>
      <c r="E19" s="13">
        <v>2200</v>
      </c>
      <c r="F19" s="12" t="s">
        <v>26</v>
      </c>
    </row>
    <row r="20" spans="1:6">
      <c r="A20" s="22">
        <v>46300</v>
      </c>
      <c r="B20" s="12" t="s">
        <v>16</v>
      </c>
      <c r="C20" s="12" t="s">
        <v>29</v>
      </c>
      <c r="D20" s="12" t="s">
        <v>30</v>
      </c>
      <c r="E20" s="13">
        <v>1700</v>
      </c>
      <c r="F20" s="12" t="s">
        <v>19</v>
      </c>
    </row>
    <row r="21" spans="1:6">
      <c r="A21" s="22">
        <v>46301</v>
      </c>
      <c r="B21" s="12" t="s">
        <v>16</v>
      </c>
      <c r="C21" s="12" t="s">
        <v>27</v>
      </c>
      <c r="D21" s="12" t="s">
        <v>28</v>
      </c>
      <c r="E21" s="13">
        <v>600</v>
      </c>
      <c r="F21" s="12" t="s">
        <v>19</v>
      </c>
    </row>
  </sheetData>
  <autoFilter xmlns:etc="http://www.wps.cn/officeDocument/2017/etCustomData" ref="A1:F21" etc:filterBottomFollowUsedRange="0">
    <extLst/>
  </autoFilter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"/>
  <sheetViews>
    <sheetView workbookViewId="0">
      <pane ySplit="1" topLeftCell="A2" activePane="bottomLeft" state="frozen"/>
      <selection/>
      <selection pane="bottomLeft" activeCell="D2" sqref="D2"/>
    </sheetView>
  </sheetViews>
  <sheetFormatPr defaultColWidth="9" defaultRowHeight="15" outlineLevelRow="4" outlineLevelCol="3"/>
  <cols>
    <col min="1" max="1" width="14" customWidth="1"/>
    <col min="2" max="2" width="22" customWidth="1"/>
    <col min="3" max="3" width="18" customWidth="1"/>
    <col min="4" max="4" width="15" customWidth="1"/>
  </cols>
  <sheetData>
    <row r="1" spans="1:4">
      <c r="A1" s="14" t="s">
        <v>6</v>
      </c>
      <c r="B1" s="14" t="s">
        <v>41</v>
      </c>
      <c r="C1" s="14" t="s">
        <v>8</v>
      </c>
      <c r="D1" s="14" t="s">
        <v>10</v>
      </c>
    </row>
    <row r="2" spans="1:4">
      <c r="A2" s="20">
        <v>46266</v>
      </c>
      <c r="B2" s="15" t="s">
        <v>42</v>
      </c>
      <c r="C2" s="15" t="s">
        <v>13</v>
      </c>
      <c r="D2" s="16">
        <v>50000</v>
      </c>
    </row>
    <row r="3" spans="1:4">
      <c r="A3" s="19">
        <v>46280</v>
      </c>
      <c r="B3" s="12" t="s">
        <v>43</v>
      </c>
      <c r="C3" s="12" t="s">
        <v>31</v>
      </c>
      <c r="D3" s="13">
        <v>8000</v>
      </c>
    </row>
    <row r="4" spans="1:4">
      <c r="A4" s="19">
        <v>46294</v>
      </c>
      <c r="B4" s="12" t="s">
        <v>42</v>
      </c>
      <c r="C4" s="12" t="s">
        <v>39</v>
      </c>
      <c r="D4" s="13">
        <v>5000</v>
      </c>
    </row>
    <row r="5" spans="1:4">
      <c r="A5" s="19">
        <v>46296</v>
      </c>
      <c r="B5" s="12" t="s">
        <v>42</v>
      </c>
      <c r="C5" s="12" t="s">
        <v>13</v>
      </c>
      <c r="D5" s="13">
        <v>50000</v>
      </c>
    </row>
  </sheetData>
  <autoFilter xmlns:etc="http://www.wps.cn/officeDocument/2017/etCustomData" ref="A1:D5" etc:filterBottomFollowUsedRange="0">
    <extLst/>
  </autoFilter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7"/>
  <sheetViews>
    <sheetView workbookViewId="0">
      <pane ySplit="1" topLeftCell="A2" activePane="bottomLeft" state="frozen"/>
      <selection/>
      <selection pane="bottomLeft" activeCell="I12" sqref="I12"/>
    </sheetView>
  </sheetViews>
  <sheetFormatPr defaultColWidth="9" defaultRowHeight="15" outlineLevelCol="3"/>
  <cols>
    <col min="1" max="1" width="14" customWidth="1"/>
    <col min="2" max="2" width="18" customWidth="1"/>
    <col min="3" max="3" width="25" customWidth="1"/>
    <col min="4" max="4" width="15" customWidth="1"/>
  </cols>
  <sheetData>
    <row r="1" spans="1:4">
      <c r="A1" s="11" t="s">
        <v>6</v>
      </c>
      <c r="B1" s="11" t="s">
        <v>8</v>
      </c>
      <c r="C1" s="11" t="s">
        <v>9</v>
      </c>
      <c r="D1" s="11" t="s">
        <v>10</v>
      </c>
    </row>
    <row r="2" spans="1:4">
      <c r="A2" s="19">
        <v>46267</v>
      </c>
      <c r="B2" s="12" t="s">
        <v>17</v>
      </c>
      <c r="C2" s="12" t="s">
        <v>18</v>
      </c>
      <c r="D2" s="13">
        <v>3500</v>
      </c>
    </row>
    <row r="3" spans="1:4">
      <c r="A3" s="19">
        <v>46269</v>
      </c>
      <c r="B3" s="12" t="s">
        <v>20</v>
      </c>
      <c r="C3" s="12" t="s">
        <v>21</v>
      </c>
      <c r="D3" s="13">
        <v>1500</v>
      </c>
    </row>
    <row r="4" spans="1:4">
      <c r="A4" s="19">
        <v>46271</v>
      </c>
      <c r="B4" s="12" t="s">
        <v>22</v>
      </c>
      <c r="C4" s="12" t="s">
        <v>23</v>
      </c>
      <c r="D4" s="13">
        <v>12000</v>
      </c>
    </row>
    <row r="5" spans="1:4">
      <c r="A5" s="19">
        <v>46273</v>
      </c>
      <c r="B5" s="12" t="s">
        <v>24</v>
      </c>
      <c r="C5" s="12" t="s">
        <v>25</v>
      </c>
      <c r="D5" s="13">
        <v>2500</v>
      </c>
    </row>
    <row r="6" spans="1:4">
      <c r="A6" s="19">
        <v>46275</v>
      </c>
      <c r="B6" s="12" t="s">
        <v>27</v>
      </c>
      <c r="C6" s="12" t="s">
        <v>28</v>
      </c>
      <c r="D6" s="13">
        <v>800</v>
      </c>
    </row>
    <row r="7" spans="1:4">
      <c r="A7" s="19">
        <v>46277</v>
      </c>
      <c r="B7" s="12" t="s">
        <v>29</v>
      </c>
      <c r="C7" s="12" t="s">
        <v>30</v>
      </c>
      <c r="D7" s="13">
        <v>1800</v>
      </c>
    </row>
    <row r="8" spans="1:4">
      <c r="A8" s="19">
        <v>46283</v>
      </c>
      <c r="B8" s="12" t="s">
        <v>17</v>
      </c>
      <c r="C8" s="12" t="s">
        <v>33</v>
      </c>
      <c r="D8" s="13">
        <v>1200</v>
      </c>
    </row>
    <row r="9" spans="1:4">
      <c r="A9" s="19">
        <v>46285</v>
      </c>
      <c r="B9" s="12" t="s">
        <v>34</v>
      </c>
      <c r="C9" s="12" t="s">
        <v>35</v>
      </c>
      <c r="D9" s="13">
        <v>700</v>
      </c>
    </row>
    <row r="10" spans="1:4">
      <c r="A10" s="19">
        <v>46287</v>
      </c>
      <c r="B10" s="12" t="s">
        <v>20</v>
      </c>
      <c r="C10" s="12" t="s">
        <v>36</v>
      </c>
      <c r="D10" s="13">
        <v>2500</v>
      </c>
    </row>
    <row r="11" spans="1:4">
      <c r="A11" s="19">
        <v>46290</v>
      </c>
      <c r="B11" s="12" t="s">
        <v>24</v>
      </c>
      <c r="C11" s="12" t="s">
        <v>37</v>
      </c>
      <c r="D11" s="13">
        <v>1500</v>
      </c>
    </row>
    <row r="12" spans="1:4">
      <c r="A12" s="19">
        <v>46292</v>
      </c>
      <c r="B12" s="12" t="s">
        <v>29</v>
      </c>
      <c r="C12" s="12" t="s">
        <v>38</v>
      </c>
      <c r="D12" s="13">
        <v>900</v>
      </c>
    </row>
    <row r="13" spans="1:4">
      <c r="A13" s="19">
        <v>46297</v>
      </c>
      <c r="B13" s="12" t="s">
        <v>22</v>
      </c>
      <c r="C13" s="12" t="s">
        <v>23</v>
      </c>
      <c r="D13" s="13">
        <v>12000</v>
      </c>
    </row>
    <row r="14" spans="1:4">
      <c r="A14" s="19">
        <v>46298</v>
      </c>
      <c r="B14" s="12" t="s">
        <v>17</v>
      </c>
      <c r="C14" s="12" t="s">
        <v>18</v>
      </c>
      <c r="D14" s="13">
        <v>3200</v>
      </c>
    </row>
    <row r="15" spans="1:4">
      <c r="A15" s="19">
        <v>46299</v>
      </c>
      <c r="B15" s="12" t="s">
        <v>20</v>
      </c>
      <c r="C15" s="12" t="s">
        <v>36</v>
      </c>
      <c r="D15" s="13">
        <v>2200</v>
      </c>
    </row>
    <row r="16" spans="1:4">
      <c r="A16" s="19">
        <v>46300</v>
      </c>
      <c r="B16" s="12" t="s">
        <v>29</v>
      </c>
      <c r="C16" s="12" t="s">
        <v>30</v>
      </c>
      <c r="D16" s="13">
        <v>1700</v>
      </c>
    </row>
    <row r="17" spans="1:4">
      <c r="A17" s="19">
        <v>46301</v>
      </c>
      <c r="B17" s="12" t="s">
        <v>27</v>
      </c>
      <c r="C17" s="12" t="s">
        <v>28</v>
      </c>
      <c r="D17" s="13">
        <v>600</v>
      </c>
    </row>
  </sheetData>
  <autoFilter xmlns:etc="http://www.wps.cn/officeDocument/2017/etCustomData" ref="A1:D17" etc:filterBottomFollowUsedRange="0">
    <extLst/>
  </autoFilter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"/>
  <sheetViews>
    <sheetView workbookViewId="0">
      <pane ySplit="1" topLeftCell="A2" activePane="bottomLeft" state="frozen"/>
      <selection/>
      <selection pane="bottomLeft" activeCell="C14" sqref="C14"/>
    </sheetView>
  </sheetViews>
  <sheetFormatPr defaultColWidth="9" defaultRowHeight="15" outlineLevelRow="2" outlineLevelCol="4"/>
  <cols>
    <col min="1" max="1" width="22" customWidth="1"/>
    <col min="2" max="4" width="16" customWidth="1"/>
    <col min="5" max="5" width="15" customWidth="1"/>
  </cols>
  <sheetData>
    <row r="1" spans="1:5">
      <c r="A1" s="14" t="s">
        <v>44</v>
      </c>
      <c r="B1" s="14" t="s">
        <v>12</v>
      </c>
      <c r="C1" s="14" t="s">
        <v>16</v>
      </c>
      <c r="D1" s="14" t="s">
        <v>45</v>
      </c>
      <c r="E1" s="14" t="s">
        <v>46</v>
      </c>
    </row>
    <row r="2" spans="1:5">
      <c r="A2" s="15" t="s">
        <v>47</v>
      </c>
      <c r="B2" s="16">
        <v>63000</v>
      </c>
      <c r="C2" s="16">
        <v>28900</v>
      </c>
      <c r="D2" s="16">
        <f>B2-C2</f>
        <v>34100</v>
      </c>
      <c r="E2" s="17">
        <f>IF(B2=0,0,D2/B2)</f>
        <v>0.541269841269841</v>
      </c>
    </row>
    <row r="3" spans="1:5">
      <c r="A3" s="12" t="s">
        <v>48</v>
      </c>
      <c r="B3" s="13">
        <v>50000</v>
      </c>
      <c r="C3" s="13">
        <v>19700</v>
      </c>
      <c r="D3" s="13">
        <f>B3-C3</f>
        <v>30300</v>
      </c>
      <c r="E3" s="18">
        <f>IF(B3=0,0,D3/B3)</f>
        <v>0.606</v>
      </c>
    </row>
  </sheetData>
  <conditionalFormatting sqref="E2:E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3"/>
  <sheetViews>
    <sheetView workbookViewId="0">
      <pane ySplit="1" topLeftCell="A2" activePane="bottomLeft" state="frozen"/>
      <selection/>
      <selection pane="bottomLeft" activeCell="D7" sqref="D7"/>
    </sheetView>
  </sheetViews>
  <sheetFormatPr defaultColWidth="9" defaultRowHeight="15" outlineLevelCol="1"/>
  <cols>
    <col min="1" max="1" width="22" customWidth="1"/>
    <col min="2" max="2" width="15" customWidth="1"/>
  </cols>
  <sheetData>
    <row r="1" spans="1:2">
      <c r="A1" s="11" t="s">
        <v>8</v>
      </c>
      <c r="B1" s="11" t="s">
        <v>7</v>
      </c>
    </row>
    <row r="2" spans="1:2">
      <c r="A2" s="12" t="s">
        <v>13</v>
      </c>
      <c r="B2" s="12" t="s">
        <v>12</v>
      </c>
    </row>
    <row r="3" spans="1:2">
      <c r="A3" s="12" t="s">
        <v>31</v>
      </c>
      <c r="B3" s="12" t="s">
        <v>12</v>
      </c>
    </row>
    <row r="4" spans="1:2">
      <c r="A4" s="12" t="s">
        <v>39</v>
      </c>
      <c r="B4" s="12" t="s">
        <v>12</v>
      </c>
    </row>
    <row r="5" spans="1:2">
      <c r="A5" s="12" t="s">
        <v>17</v>
      </c>
      <c r="B5" s="12" t="s">
        <v>16</v>
      </c>
    </row>
    <row r="6" spans="1:2">
      <c r="A6" s="12" t="s">
        <v>20</v>
      </c>
      <c r="B6" s="12" t="s">
        <v>16</v>
      </c>
    </row>
    <row r="7" spans="1:2">
      <c r="A7" s="12" t="s">
        <v>22</v>
      </c>
      <c r="B7" s="12" t="s">
        <v>16</v>
      </c>
    </row>
    <row r="8" spans="1:2">
      <c r="A8" s="12" t="s">
        <v>24</v>
      </c>
      <c r="B8" s="12" t="s">
        <v>16</v>
      </c>
    </row>
    <row r="9" spans="1:2">
      <c r="A9" s="12" t="s">
        <v>27</v>
      </c>
      <c r="B9" s="12" t="s">
        <v>16</v>
      </c>
    </row>
    <row r="10" spans="1:2">
      <c r="A10" s="12" t="s">
        <v>29</v>
      </c>
      <c r="B10" s="12" t="s">
        <v>16</v>
      </c>
    </row>
    <row r="11" spans="1:2">
      <c r="A11" s="12" t="s">
        <v>34</v>
      </c>
      <c r="B11" s="12" t="s">
        <v>16</v>
      </c>
    </row>
    <row r="12" spans="1:2">
      <c r="A12" s="12" t="s">
        <v>49</v>
      </c>
      <c r="B12" s="12" t="s">
        <v>16</v>
      </c>
    </row>
    <row r="13" spans="1:2">
      <c r="A13" s="12" t="s">
        <v>50</v>
      </c>
      <c r="B13" s="12" t="s">
        <v>16</v>
      </c>
    </row>
  </sheetData>
  <autoFilter xmlns:etc="http://www.wps.cn/officeDocument/2017/etCustomData" ref="A1:B13" etc:filterBottomFollowUsedRange="0">
    <extLst/>
  </autoFilter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"/>
  <sheetViews>
    <sheetView workbookViewId="0">
      <pane ySplit="1" topLeftCell="A2" activePane="bottomLeft" state="frozen"/>
      <selection/>
      <selection pane="bottomLeft" activeCell="C11" sqref="C11"/>
    </sheetView>
  </sheetViews>
  <sheetFormatPr defaultColWidth="9" defaultRowHeight="15" outlineLevelRow="2" outlineLevelCol="3"/>
  <cols>
    <col min="1" max="1" width="22" customWidth="1"/>
    <col min="2" max="2" width="16" customWidth="1"/>
    <col min="3" max="4" width="18" customWidth="1"/>
  </cols>
  <sheetData>
    <row r="1" spans="1:4">
      <c r="A1" s="11" t="s">
        <v>44</v>
      </c>
      <c r="B1" s="11" t="s">
        <v>51</v>
      </c>
      <c r="C1" s="11" t="s">
        <v>52</v>
      </c>
      <c r="D1" s="11" t="s">
        <v>53</v>
      </c>
    </row>
    <row r="2" spans="1:4">
      <c r="A2" s="12" t="s">
        <v>47</v>
      </c>
      <c r="B2" s="13">
        <v>30000</v>
      </c>
      <c r="C2" s="13">
        <v>34100</v>
      </c>
      <c r="D2" s="12" t="str">
        <f>IF(C2&gt;=B2,"Achieved","Not Achieved")</f>
        <v>Achieved</v>
      </c>
    </row>
    <row r="3" spans="1:4">
      <c r="A3" s="12" t="s">
        <v>48</v>
      </c>
      <c r="B3" s="13">
        <v>30000</v>
      </c>
      <c r="C3" s="13">
        <v>30300</v>
      </c>
      <c r="D3" s="12" t="str">
        <f>IF(C3&gt;=B3,"Achieved","Not Achieved")</f>
        <v>Achieved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0"/>
  <sheetViews>
    <sheetView workbookViewId="0">
      <selection activeCell="B17" sqref="B17"/>
    </sheetView>
  </sheetViews>
  <sheetFormatPr defaultColWidth="9" defaultRowHeight="15" outlineLevelCol="3"/>
  <cols>
    <col min="1" max="1" width="24" customWidth="1"/>
    <col min="2" max="2" width="32" customWidth="1"/>
    <col min="3" max="4" width="25" customWidth="1"/>
  </cols>
  <sheetData>
    <row r="1" spans="1:4">
      <c r="A1" s="6" t="s">
        <v>54</v>
      </c>
    </row>
    <row r="3" spans="1:4">
      <c r="A3" s="7" t="s">
        <v>55</v>
      </c>
      <c r="B3" s="8" t="s">
        <v>56</v>
      </c>
      <c r="C3" s="9"/>
      <c r="D3" s="10"/>
    </row>
    <row r="4" spans="1:4">
      <c r="A4" s="7" t="s">
        <v>57</v>
      </c>
      <c r="B4" s="8" t="s">
        <v>58</v>
      </c>
      <c r="C4" s="9"/>
      <c r="D4" s="10"/>
    </row>
    <row r="5" spans="1:4">
      <c r="A5" s="7" t="s">
        <v>59</v>
      </c>
      <c r="B5" s="8" t="s">
        <v>60</v>
      </c>
      <c r="C5" s="9"/>
      <c r="D5" s="10"/>
    </row>
    <row r="6" spans="1:4">
      <c r="A6" s="7" t="s">
        <v>61</v>
      </c>
      <c r="B6" s="8" t="s">
        <v>62</v>
      </c>
      <c r="C6" s="9"/>
      <c r="D6" s="10"/>
    </row>
    <row r="7" spans="1:4">
      <c r="A7" s="7" t="s">
        <v>63</v>
      </c>
      <c r="B7" s="8" t="s">
        <v>64</v>
      </c>
      <c r="C7" s="9"/>
      <c r="D7" s="10"/>
    </row>
    <row r="8" spans="1:4">
      <c r="A8" s="7" t="s">
        <v>65</v>
      </c>
      <c r="B8" s="8" t="s">
        <v>66</v>
      </c>
      <c r="C8" s="9"/>
      <c r="D8" s="10"/>
    </row>
    <row r="9" spans="1:4">
      <c r="A9" s="7" t="s">
        <v>67</v>
      </c>
      <c r="B9" s="8" t="s">
        <v>68</v>
      </c>
      <c r="C9" s="9"/>
      <c r="D9" s="10"/>
    </row>
    <row r="10" spans="1:4">
      <c r="A10" s="7" t="s">
        <v>69</v>
      </c>
      <c r="B10" s="8" t="s">
        <v>70</v>
      </c>
      <c r="C10" s="9"/>
      <c r="D10" s="10"/>
    </row>
  </sheetData>
  <mergeCells count="9">
    <mergeCell ref="B3:D3"/>
    <mergeCell ref="B4:D4"/>
    <mergeCell ref="B5:D5"/>
    <mergeCell ref="B6:D6"/>
    <mergeCell ref="B7:D7"/>
    <mergeCell ref="B8:D8"/>
    <mergeCell ref="B9:D9"/>
    <mergeCell ref="B10:D10"/>
    <mergeCell ref="A1:D2"/>
  </mergeCell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0"/>
  <sheetViews>
    <sheetView showGridLines="0" workbookViewId="0">
      <pane ySplit="1" topLeftCell="A2" activePane="bottomLeft" state="frozen"/>
      <selection/>
      <selection pane="bottomLeft" activeCell="A1" sqref="A1"/>
    </sheetView>
  </sheetViews>
  <sheetFormatPr defaultColWidth="9" defaultRowHeight="15"/>
  <cols>
    <col min="1" max="12" width="19" customWidth="1"/>
  </cols>
  <sheetData>
    <row r="1" spans="1:12">
      <c r="A1" s="1" t="s">
        <v>44</v>
      </c>
      <c r="B1" s="1" t="s">
        <v>12</v>
      </c>
      <c r="C1" s="1" t="s">
        <v>71</v>
      </c>
      <c r="D1" s="1" t="s">
        <v>45</v>
      </c>
      <c r="E1" s="1" t="s">
        <v>8</v>
      </c>
      <c r="F1" s="1" t="s">
        <v>72</v>
      </c>
      <c r="G1" s="1" t="s">
        <v>73</v>
      </c>
      <c r="H1" s="1" t="s">
        <v>74</v>
      </c>
      <c r="I1" s="1" t="s">
        <v>75</v>
      </c>
      <c r="J1" s="1" t="s">
        <v>76</v>
      </c>
      <c r="K1" s="1" t="s">
        <v>11</v>
      </c>
      <c r="L1" s="1" t="s">
        <v>77</v>
      </c>
    </row>
    <row r="2" spans="1:12">
      <c r="A2" s="2" t="s">
        <v>47</v>
      </c>
      <c r="B2" s="2">
        <f>SUMIFS(Transactions!$E$2:$E$1000,Transactions!$B$2:$B$1000,"Income",Transactions!$A$2:$A$1000,"&gt;="&amp;DATEVALUE("1 "&amp;A2),Transactions!$A$2:$A$1000,"&lt;"&amp;EDATE(DATEVALUE("1 "&amp;A2),1))</f>
        <v>63000</v>
      </c>
      <c r="C2" s="2">
        <f>SUMIFS(Transactions!$E$2:$E$1000,Transactions!$B$2:$B$1000,"Expense",Transactions!$A$2:$A$1000,"&gt;="&amp;DATEVALUE("1 "&amp;A2),Transactions!$A$2:$A$1000,"&lt;"&amp;EDATE(DATEVALUE("1 "&amp;A2),1))</f>
        <v>28900</v>
      </c>
      <c r="D2" s="2">
        <f>B2-C2</f>
        <v>34100</v>
      </c>
      <c r="E2" s="2" t="s">
        <v>17</v>
      </c>
      <c r="F2" s="2">
        <f>SUMIFS(Transactions!$E$2:$E$1000,Transactions!$B$2:$B$1000,"Expense",Transactions!$C$2:$C$1000,E2)</f>
        <v>7900</v>
      </c>
      <c r="G2" s="2">
        <f>'Budget Plan'!B2</f>
        <v>5000</v>
      </c>
      <c r="H2" s="2">
        <f>'Budget Plan'!C2</f>
        <v>7900</v>
      </c>
      <c r="I2" s="2" t="s">
        <v>42</v>
      </c>
      <c r="J2" s="2">
        <f>SUMIF(Income!$B$2:$B$1000,I2,Income!$D$2:$D$1000)</f>
        <v>105000</v>
      </c>
      <c r="K2" s="2" t="s">
        <v>15</v>
      </c>
      <c r="L2" s="2">
        <f>SUMIFS(Transactions!$E$2:$E$1000,Transactions!$B$2:$B$1000,"Expense",Transactions!$F$2:$F$1000,K2)</f>
        <v>24000</v>
      </c>
    </row>
    <row r="3" spans="1:12">
      <c r="A3" s="4" t="s">
        <v>48</v>
      </c>
      <c r="B3" s="4">
        <f>SUMIFS(Transactions!$E$2:$E$1000,Transactions!$B$2:$B$1000,"Income",Transactions!$A$2:$A$1000,"&gt;="&amp;DATEVALUE("1 "&amp;A3),Transactions!$A$2:$A$1000,"&lt;"&amp;EDATE(DATEVALUE("1 "&amp;A3),1))</f>
        <v>50000</v>
      </c>
      <c r="C3" s="4">
        <f>SUMIFS(Transactions!$E$2:$E$1000,Transactions!$B$2:$B$1000,"Expense",Transactions!$A$2:$A$1000,"&gt;="&amp;DATEVALUE("1 "&amp;A3),Transactions!$A$2:$A$1000,"&lt;"&amp;EDATE(DATEVALUE("1 "&amp;A3),1))</f>
        <v>19700</v>
      </c>
      <c r="D3" s="4">
        <f>B3-C3</f>
        <v>30300</v>
      </c>
      <c r="E3" s="4" t="s">
        <v>20</v>
      </c>
      <c r="F3" s="4">
        <f>SUMIFS(Transactions!$E$2:$E$1000,Transactions!$B$2:$B$1000,"Expense",Transactions!$C$2:$C$1000,E3)</f>
        <v>6200</v>
      </c>
      <c r="G3" s="4">
        <f>'Budget Plan'!B3</f>
        <v>3000</v>
      </c>
      <c r="H3" s="4">
        <f>'Budget Plan'!C3</f>
        <v>6200</v>
      </c>
      <c r="I3" s="4" t="s">
        <v>43</v>
      </c>
      <c r="J3" s="4">
        <f>SUMIF(Income!$B$2:$B$1000,I3,Income!$D$2:$D$1000)</f>
        <v>8000</v>
      </c>
      <c r="K3" s="4" t="s">
        <v>19</v>
      </c>
      <c r="L3" s="4">
        <f>SUMIFS(Transactions!$E$2:$E$1000,Transactions!$B$2:$B$1000,"Expense",Transactions!$F$2:$F$1000,K3)</f>
        <v>17400</v>
      </c>
    </row>
    <row r="4" spans="1:12">
      <c r="A4" s="2"/>
      <c r="B4" s="2"/>
      <c r="C4" s="2"/>
      <c r="D4" s="2"/>
      <c r="E4" s="2" t="s">
        <v>22</v>
      </c>
      <c r="F4" s="2">
        <f>SUMIFS(Transactions!$E$2:$E$1000,Transactions!$B$2:$B$1000,"Expense",Transactions!$C$2:$C$1000,E4)</f>
        <v>24000</v>
      </c>
      <c r="G4" s="2">
        <f>'Budget Plan'!B4</f>
        <v>12000</v>
      </c>
      <c r="H4" s="2">
        <f>'Budget Plan'!C4</f>
        <v>24000</v>
      </c>
      <c r="I4" s="2"/>
      <c r="J4" s="2"/>
      <c r="K4" s="2" t="s">
        <v>26</v>
      </c>
      <c r="L4" s="2">
        <f>SUMIFS(Transactions!$E$2:$E$1000,Transactions!$B$2:$B$1000,"Expense",Transactions!$F$2:$F$1000,K4)</f>
        <v>7200</v>
      </c>
    </row>
    <row r="5" spans="1:12">
      <c r="A5" s="4"/>
      <c r="B5" s="4"/>
      <c r="C5" s="4"/>
      <c r="D5" s="4"/>
      <c r="E5" s="4" t="s">
        <v>24</v>
      </c>
      <c r="F5" s="4">
        <f>SUMIFS(Transactions!$E$2:$E$1000,Transactions!$B$2:$B$1000,"Expense",Transactions!$C$2:$C$1000,E5)</f>
        <v>4000</v>
      </c>
      <c r="G5" s="4">
        <f>'Budget Plan'!B5</f>
        <v>3000</v>
      </c>
      <c r="H5" s="4">
        <f>'Budget Plan'!C5</f>
        <v>4000</v>
      </c>
      <c r="I5" s="4"/>
      <c r="J5" s="4"/>
      <c r="K5" s="4"/>
      <c r="L5" s="4"/>
    </row>
    <row r="6" spans="1:12">
      <c r="A6" s="2"/>
      <c r="B6" s="2"/>
      <c r="C6" s="2"/>
      <c r="D6" s="2"/>
      <c r="E6" s="2" t="s">
        <v>27</v>
      </c>
      <c r="F6" s="2">
        <f>SUMIFS(Transactions!$E$2:$E$1000,Transactions!$B$2:$B$1000,"Expense",Transactions!$C$2:$C$1000,E6)</f>
        <v>1400</v>
      </c>
      <c r="G6" s="2">
        <f>'Budget Plan'!B6</f>
        <v>2000</v>
      </c>
      <c r="H6" s="2">
        <f>'Budget Plan'!C6</f>
        <v>1400</v>
      </c>
      <c r="I6" s="2"/>
      <c r="J6" s="2"/>
      <c r="K6" s="2"/>
      <c r="L6" s="2"/>
    </row>
    <row r="7" spans="1:12">
      <c r="A7" s="4"/>
      <c r="B7" s="4"/>
      <c r="C7" s="4"/>
      <c r="D7" s="4"/>
      <c r="E7" s="4" t="s">
        <v>29</v>
      </c>
      <c r="F7" s="4">
        <f>SUMIFS(Transactions!$E$2:$E$1000,Transactions!$B$2:$B$1000,"Expense",Transactions!$C$2:$C$1000,E7)</f>
        <v>4400</v>
      </c>
      <c r="G7" s="4">
        <f>'Budget Plan'!B7</f>
        <v>4000</v>
      </c>
      <c r="H7" s="4">
        <f>'Budget Plan'!C7</f>
        <v>4400</v>
      </c>
      <c r="I7" s="4"/>
      <c r="J7" s="4"/>
      <c r="K7" s="4"/>
      <c r="L7" s="4"/>
    </row>
    <row r="8" spans="1:12">
      <c r="A8" s="2"/>
      <c r="B8" s="2"/>
      <c r="C8" s="2"/>
      <c r="D8" s="2"/>
      <c r="E8" s="2" t="s">
        <v>34</v>
      </c>
      <c r="F8" s="2">
        <f>SUMIFS(Transactions!$E$2:$E$1000,Transactions!$B$2:$B$1000,"Expense",Transactions!$C$2:$C$1000,E8)</f>
        <v>700</v>
      </c>
      <c r="G8" s="2">
        <f>'Budget Plan'!B8</f>
        <v>1500</v>
      </c>
      <c r="H8" s="2">
        <f>'Budget Plan'!C8</f>
        <v>700</v>
      </c>
      <c r="I8" s="2"/>
      <c r="J8" s="2"/>
      <c r="K8" s="2"/>
      <c r="L8" s="2"/>
    </row>
    <row r="9" spans="1:12">
      <c r="A9" s="4"/>
      <c r="B9" s="4"/>
      <c r="C9" s="4"/>
      <c r="D9" s="4"/>
      <c r="E9" s="4" t="s">
        <v>49</v>
      </c>
      <c r="F9" s="4">
        <f>SUMIFS(Transactions!$E$2:$E$1000,Transactions!$B$2:$B$1000,"Expense",Transactions!$C$2:$C$1000,E9)</f>
        <v>0</v>
      </c>
      <c r="G9" s="4">
        <f>'Budget Plan'!B9</f>
        <v>2000</v>
      </c>
      <c r="H9" s="4">
        <f>'Budget Plan'!C9</f>
        <v>0</v>
      </c>
      <c r="I9" s="4"/>
      <c r="J9" s="4"/>
      <c r="K9" s="4"/>
      <c r="L9" s="4"/>
    </row>
    <row r="10" spans="1:12">
      <c r="A10" s="2"/>
      <c r="B10" s="2"/>
      <c r="C10" s="2"/>
      <c r="D10" s="2"/>
      <c r="E10" s="2" t="s">
        <v>50</v>
      </c>
      <c r="F10" s="2">
        <f>SUMIFS(Transactions!$E$2:$E$1000,Transactions!$B$2:$B$1000,"Expense",Transactions!$C$2:$C$1000,E10)</f>
        <v>0</v>
      </c>
      <c r="G10" s="2">
        <f>'Budget Plan'!B10</f>
        <v>2000</v>
      </c>
      <c r="H10" s="2">
        <f>'Budget Plan'!C10</f>
        <v>0</v>
      </c>
      <c r="I10" s="2"/>
      <c r="J10" s="2"/>
      <c r="K10" s="2"/>
      <c r="L10" s="2"/>
    </row>
  </sheetData>
  <autoFilter xmlns:etc="http://www.wps.cn/officeDocument/2017/etCustomData" ref="A1:L10" etc:filterBottomFollowUsedRange="0">
    <extLst/>
  </autoFilter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0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5" outlineLevelCol="3"/>
  <cols>
    <col min="1" max="1" width="16" customWidth="1"/>
    <col min="2" max="2" width="17" customWidth="1"/>
    <col min="3" max="3" width="25" customWidth="1"/>
    <col min="4" max="4" width="19" customWidth="1"/>
  </cols>
  <sheetData>
    <row r="1" spans="1:4">
      <c r="A1" s="1" t="s">
        <v>8</v>
      </c>
      <c r="B1" s="1" t="s">
        <v>78</v>
      </c>
      <c r="C1" s="1" t="s">
        <v>79</v>
      </c>
      <c r="D1" s="1" t="s">
        <v>80</v>
      </c>
    </row>
    <row r="2" spans="1:4">
      <c r="A2" s="2" t="s">
        <v>17</v>
      </c>
      <c r="B2" s="3">
        <v>5000</v>
      </c>
      <c r="C2" s="3">
        <f>SUMIFS(Transactions!$E$2:$E$1000,Transactions!$B$2:$B$1000,"Expense",Transactions!$C$2:$C$1000,A2)</f>
        <v>7900</v>
      </c>
      <c r="D2" s="3">
        <f t="shared" ref="D2:D10" si="0">B2-C2</f>
        <v>-2900</v>
      </c>
    </row>
    <row r="3" spans="1:4">
      <c r="A3" s="4" t="s">
        <v>20</v>
      </c>
      <c r="B3" s="5">
        <v>3000</v>
      </c>
      <c r="C3" s="5">
        <f>SUMIFS(Transactions!$E$2:$E$1000,Transactions!$B$2:$B$1000,"Expense",Transactions!$C$2:$C$1000,A3)</f>
        <v>6200</v>
      </c>
      <c r="D3" s="5">
        <f t="shared" si="0"/>
        <v>-3200</v>
      </c>
    </row>
    <row r="4" spans="1:4">
      <c r="A4" s="2" t="s">
        <v>22</v>
      </c>
      <c r="B4" s="3">
        <v>12000</v>
      </c>
      <c r="C4" s="3">
        <f>SUMIFS(Transactions!$E$2:$E$1000,Transactions!$B$2:$B$1000,"Expense",Transactions!$C$2:$C$1000,A4)</f>
        <v>24000</v>
      </c>
      <c r="D4" s="3">
        <f t="shared" si="0"/>
        <v>-12000</v>
      </c>
    </row>
    <row r="5" spans="1:4">
      <c r="A5" s="4" t="s">
        <v>24</v>
      </c>
      <c r="B5" s="5">
        <v>3000</v>
      </c>
      <c r="C5" s="5">
        <f>SUMIFS(Transactions!$E$2:$E$1000,Transactions!$B$2:$B$1000,"Expense",Transactions!$C$2:$C$1000,A5)</f>
        <v>4000</v>
      </c>
      <c r="D5" s="5">
        <f t="shared" si="0"/>
        <v>-1000</v>
      </c>
    </row>
    <row r="6" spans="1:4">
      <c r="A6" s="2" t="s">
        <v>27</v>
      </c>
      <c r="B6" s="3">
        <v>2000</v>
      </c>
      <c r="C6" s="3">
        <f>SUMIFS(Transactions!$E$2:$E$1000,Transactions!$B$2:$B$1000,"Expense",Transactions!$C$2:$C$1000,A6)</f>
        <v>1400</v>
      </c>
      <c r="D6" s="3">
        <f t="shared" si="0"/>
        <v>600</v>
      </c>
    </row>
    <row r="7" spans="1:4">
      <c r="A7" s="4" t="s">
        <v>29</v>
      </c>
      <c r="B7" s="5">
        <v>4000</v>
      </c>
      <c r="C7" s="5">
        <f>SUMIFS(Transactions!$E$2:$E$1000,Transactions!$B$2:$B$1000,"Expense",Transactions!$C$2:$C$1000,A7)</f>
        <v>4400</v>
      </c>
      <c r="D7" s="5">
        <f t="shared" si="0"/>
        <v>-400</v>
      </c>
    </row>
    <row r="8" spans="1:4">
      <c r="A8" s="2" t="s">
        <v>34</v>
      </c>
      <c r="B8" s="3">
        <v>1500</v>
      </c>
      <c r="C8" s="3">
        <f>SUMIFS(Transactions!$E$2:$E$1000,Transactions!$B$2:$B$1000,"Expense",Transactions!$C$2:$C$1000,A8)</f>
        <v>700</v>
      </c>
      <c r="D8" s="3">
        <f t="shared" si="0"/>
        <v>800</v>
      </c>
    </row>
    <row r="9" spans="1:4">
      <c r="A9" s="4" t="s">
        <v>49</v>
      </c>
      <c r="B9" s="5">
        <v>2000</v>
      </c>
      <c r="C9" s="5">
        <f>SUMIFS(Transactions!$E$2:$E$1000,Transactions!$B$2:$B$1000,"Expense",Transactions!$C$2:$C$1000,A9)</f>
        <v>0</v>
      </c>
      <c r="D9" s="5">
        <f t="shared" si="0"/>
        <v>2000</v>
      </c>
    </row>
    <row r="10" spans="1:4">
      <c r="A10" s="2" t="s">
        <v>50</v>
      </c>
      <c r="B10" s="3">
        <v>2000</v>
      </c>
      <c r="C10" s="3">
        <f>SUMIFS(Transactions!$E$2:$E$1000,Transactions!$B$2:$B$1000,"Expense",Transactions!$C$2:$C$1000,A10)</f>
        <v>0</v>
      </c>
      <c r="D10" s="3">
        <f t="shared" si="0"/>
        <v>2000</v>
      </c>
    </row>
  </sheetData>
  <autoFilter xmlns:etc="http://www.wps.cn/officeDocument/2017/etCustomData" ref="A1:D10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Dashboard</vt:lpstr>
      <vt:lpstr>Transactions</vt:lpstr>
      <vt:lpstr>Income</vt:lpstr>
      <vt:lpstr>Expense</vt:lpstr>
      <vt:lpstr>Monthly Summary</vt:lpstr>
      <vt:lpstr>Categories</vt:lpstr>
      <vt:lpstr>Saving Tracker</vt:lpstr>
      <vt:lpstr>Project Overview</vt:lpstr>
      <vt:lpstr>Chart Data</vt:lpstr>
      <vt:lpstr>Budget Plan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AIDASH</cp:lastModifiedBy>
  <dcterms:created xsi:type="dcterms:W3CDTF">2026-10-04T05:04:00Z</dcterms:created>
  <dcterms:modified xsi:type="dcterms:W3CDTF">2026-10-15T06:11:59Z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3CB5774D0F024D3B8BB92ADF32B9668C_13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